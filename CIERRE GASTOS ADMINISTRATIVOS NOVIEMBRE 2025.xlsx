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PAGOS NOVIEMBRE\"/>
    </mc:Choice>
  </mc:AlternateContent>
  <xr:revisionPtr revIDLastSave="0" documentId="13_ncr:1_{E972FFBC-B412-4B4A-A794-030FFB61FE55}" xr6:coauthVersionLast="47" xr6:coauthVersionMax="47" xr10:uidLastSave="{00000000-0000-0000-0000-000000000000}"/>
  <bookViews>
    <workbookView xWindow="-108" yWindow="-108" windowWidth="23256" windowHeight="12456" xr2:uid="{6D111AC9-F4B5-4EE1-9519-BE4E4E92E24D}"/>
  </bookViews>
  <sheets>
    <sheet name="Hoja1" sheetId="1" r:id="rId1"/>
  </sheets>
  <definedNames>
    <definedName name="_xlnm._FilterDatabase" localSheetId="0" hidden="1">Hoja1!$A$1:$Q$135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2" i="1" l="1"/>
  <c r="K2" i="1" s="1"/>
  <c r="L136" i="1"/>
  <c r="J3" i="1"/>
  <c r="K3" i="1"/>
  <c r="J4" i="1"/>
  <c r="K4" i="1" s="1"/>
  <c r="J5" i="1"/>
  <c r="K5" i="1" s="1"/>
  <c r="J6" i="1"/>
  <c r="K6" i="1" s="1"/>
  <c r="J7" i="1"/>
  <c r="K7" i="1" s="1"/>
  <c r="J8" i="1"/>
  <c r="K8" i="1" s="1"/>
  <c r="J9" i="1"/>
  <c r="K9" i="1" s="1"/>
  <c r="J10" i="1"/>
  <c r="K10" i="1" s="1"/>
  <c r="J11" i="1"/>
  <c r="K11" i="1" s="1"/>
  <c r="J12" i="1"/>
  <c r="K12" i="1" s="1"/>
  <c r="J13" i="1"/>
  <c r="K13" i="1"/>
  <c r="J14" i="1"/>
  <c r="K14" i="1" s="1"/>
  <c r="J15" i="1"/>
  <c r="K15" i="1" s="1"/>
  <c r="J16" i="1"/>
  <c r="K16" i="1" s="1"/>
  <c r="J17" i="1"/>
  <c r="K17" i="1"/>
  <c r="J18" i="1"/>
  <c r="K18" i="1" s="1"/>
  <c r="J19" i="1"/>
  <c r="K19" i="1"/>
  <c r="J20" i="1"/>
  <c r="K20" i="1" s="1"/>
  <c r="J21" i="1"/>
  <c r="K21" i="1" s="1"/>
  <c r="J22" i="1"/>
  <c r="K22" i="1" s="1"/>
  <c r="J23" i="1"/>
  <c r="K23" i="1" s="1"/>
  <c r="J24" i="1"/>
  <c r="K24" i="1" s="1"/>
  <c r="J25" i="1"/>
  <c r="K25" i="1"/>
  <c r="J26" i="1"/>
  <c r="K26" i="1" s="1"/>
  <c r="J27" i="1"/>
  <c r="K27" i="1" s="1"/>
  <c r="J28" i="1"/>
  <c r="K28" i="1" s="1"/>
  <c r="J29" i="1"/>
  <c r="K29" i="1"/>
  <c r="J30" i="1"/>
  <c r="K30" i="1" s="1"/>
  <c r="J31" i="1"/>
  <c r="K31" i="1" s="1"/>
  <c r="J32" i="1"/>
  <c r="K32" i="1" s="1"/>
  <c r="J33" i="1"/>
  <c r="K33" i="1"/>
  <c r="J34" i="1"/>
  <c r="K34" i="1"/>
  <c r="J35" i="1"/>
  <c r="K35" i="1"/>
  <c r="J36" i="1"/>
  <c r="K36" i="1" s="1"/>
  <c r="J37" i="1"/>
  <c r="K37" i="1" s="1"/>
  <c r="J38" i="1"/>
  <c r="K38" i="1" s="1"/>
  <c r="J39" i="1"/>
  <c r="K39" i="1" s="1"/>
  <c r="J40" i="1"/>
  <c r="K40" i="1" s="1"/>
  <c r="J41" i="1"/>
  <c r="K41" i="1"/>
  <c r="J42" i="1"/>
  <c r="K42" i="1" s="1"/>
  <c r="J43" i="1"/>
  <c r="K43" i="1" s="1"/>
  <c r="J44" i="1"/>
  <c r="K44" i="1"/>
  <c r="J45" i="1"/>
  <c r="K45" i="1"/>
  <c r="J46" i="1"/>
  <c r="K46" i="1" s="1"/>
  <c r="J47" i="1"/>
  <c r="K47" i="1" s="1"/>
  <c r="J48" i="1"/>
  <c r="K48" i="1" s="1"/>
  <c r="J49" i="1"/>
  <c r="K49" i="1" s="1"/>
  <c r="J50" i="1"/>
  <c r="K50" i="1"/>
  <c r="J51" i="1"/>
  <c r="K51" i="1" s="1"/>
  <c r="J52" i="1"/>
  <c r="K52" i="1"/>
  <c r="J53" i="1"/>
  <c r="K53" i="1"/>
  <c r="J54" i="1"/>
  <c r="K54" i="1" s="1"/>
  <c r="J55" i="1"/>
  <c r="K55" i="1"/>
  <c r="J56" i="1"/>
  <c r="K56" i="1" s="1"/>
  <c r="J57" i="1"/>
  <c r="K57" i="1" s="1"/>
  <c r="J58" i="1"/>
  <c r="K58" i="1" s="1"/>
  <c r="J59" i="1"/>
  <c r="K59" i="1" s="1"/>
  <c r="J60" i="1"/>
  <c r="K60" i="1" s="1"/>
  <c r="J61" i="1"/>
  <c r="K61" i="1"/>
  <c r="J62" i="1"/>
  <c r="K62" i="1" s="1"/>
  <c r="J63" i="1"/>
  <c r="K63" i="1" s="1"/>
  <c r="J64" i="1"/>
  <c r="K64" i="1" s="1"/>
  <c r="J65" i="1"/>
  <c r="K65" i="1"/>
  <c r="J66" i="1"/>
  <c r="K66" i="1"/>
  <c r="J67" i="1"/>
  <c r="K67" i="1" s="1"/>
  <c r="J68" i="1"/>
  <c r="K68" i="1" s="1"/>
  <c r="J69" i="1"/>
  <c r="K69" i="1" s="1"/>
  <c r="J70" i="1"/>
  <c r="K70" i="1" s="1"/>
  <c r="J71" i="1"/>
  <c r="K71" i="1" s="1"/>
  <c r="J72" i="1"/>
  <c r="K72" i="1"/>
  <c r="J73" i="1"/>
  <c r="K73" i="1" s="1"/>
  <c r="J74" i="1"/>
  <c r="K74" i="1"/>
  <c r="J75" i="1"/>
  <c r="K75" i="1"/>
  <c r="J76" i="1"/>
  <c r="K76" i="1" s="1"/>
  <c r="J77" i="1"/>
  <c r="K77" i="1" s="1"/>
  <c r="J78" i="1"/>
  <c r="K78" i="1" s="1"/>
  <c r="J79" i="1"/>
  <c r="K79" i="1" s="1"/>
  <c r="J80" i="1"/>
  <c r="K80" i="1" s="1"/>
  <c r="J81" i="1"/>
  <c r="K81" i="1" s="1"/>
  <c r="J82" i="1"/>
  <c r="K82" i="1" s="1"/>
  <c r="J83" i="1"/>
  <c r="K83" i="1" s="1"/>
  <c r="J84" i="1"/>
  <c r="K84" i="1"/>
  <c r="J85" i="1"/>
  <c r="K85" i="1"/>
  <c r="J86" i="1"/>
  <c r="K86" i="1" s="1"/>
  <c r="J87" i="1"/>
  <c r="K87" i="1" s="1"/>
  <c r="J88" i="1"/>
  <c r="K88" i="1" s="1"/>
  <c r="J89" i="1"/>
  <c r="K89" i="1" s="1"/>
  <c r="J90" i="1"/>
  <c r="K90" i="1" s="1"/>
  <c r="J91" i="1"/>
  <c r="K91" i="1"/>
  <c r="J92" i="1"/>
  <c r="K92" i="1"/>
  <c r="J93" i="1"/>
  <c r="K93" i="1" s="1"/>
  <c r="J94" i="1"/>
  <c r="K94" i="1" s="1"/>
  <c r="J95" i="1"/>
  <c r="K95" i="1"/>
  <c r="J96" i="1"/>
  <c r="K96" i="1" s="1"/>
  <c r="J97" i="1"/>
  <c r="K97" i="1" s="1"/>
  <c r="J98" i="1"/>
  <c r="K98" i="1" s="1"/>
  <c r="J99" i="1"/>
  <c r="K99" i="1" s="1"/>
  <c r="J100" i="1"/>
  <c r="K100" i="1"/>
  <c r="J101" i="1"/>
  <c r="K101" i="1" s="1"/>
  <c r="J102" i="1"/>
  <c r="K102" i="1" s="1"/>
  <c r="J103" i="1"/>
  <c r="K103" i="1" s="1"/>
  <c r="J104" i="1"/>
  <c r="K104" i="1" s="1"/>
  <c r="J105" i="1"/>
  <c r="K105" i="1" s="1"/>
  <c r="J106" i="1"/>
  <c r="K106" i="1" s="1"/>
  <c r="J107" i="1"/>
  <c r="K107" i="1" s="1"/>
  <c r="J108" i="1"/>
  <c r="K108" i="1"/>
  <c r="J109" i="1"/>
  <c r="K109" i="1" s="1"/>
  <c r="J110" i="1"/>
  <c r="K110" i="1" s="1"/>
  <c r="J111" i="1"/>
  <c r="K111" i="1"/>
  <c r="J112" i="1"/>
  <c r="K112" i="1" s="1"/>
  <c r="J113" i="1"/>
  <c r="K113" i="1"/>
  <c r="J114" i="1"/>
  <c r="K114" i="1" s="1"/>
  <c r="J115" i="1"/>
  <c r="K115" i="1" s="1"/>
  <c r="J116" i="1"/>
  <c r="K116" i="1"/>
  <c r="J117" i="1"/>
  <c r="K117" i="1" s="1"/>
  <c r="J118" i="1"/>
  <c r="K118" i="1" s="1"/>
  <c r="J119" i="1"/>
  <c r="K119" i="1" s="1"/>
  <c r="J120" i="1"/>
  <c r="K120" i="1" s="1"/>
  <c r="J121" i="1"/>
  <c r="K121" i="1" s="1"/>
  <c r="J122" i="1"/>
  <c r="K122" i="1"/>
  <c r="J123" i="1"/>
  <c r="K123" i="1"/>
  <c r="J124" i="1"/>
  <c r="K124" i="1" s="1"/>
  <c r="J125" i="1"/>
  <c r="K125" i="1" s="1"/>
  <c r="J126" i="1"/>
  <c r="K126" i="1" s="1"/>
  <c r="J127" i="1"/>
  <c r="K127" i="1" s="1"/>
  <c r="J128" i="1"/>
  <c r="K128" i="1" s="1"/>
  <c r="J129" i="1"/>
  <c r="K129" i="1"/>
  <c r="J130" i="1"/>
  <c r="K130" i="1"/>
  <c r="J131" i="1"/>
  <c r="K131" i="1" s="1"/>
  <c r="J132" i="1"/>
  <c r="K132" i="1" s="1"/>
  <c r="J133" i="1"/>
  <c r="K133" i="1"/>
  <c r="J134" i="1"/>
  <c r="K134" i="1" s="1"/>
  <c r="J135" i="1"/>
  <c r="K135" i="1" s="1"/>
  <c r="J136" i="1" l="1"/>
  <c r="K136" i="1"/>
</calcChain>
</file>

<file path=xl/sharedStrings.xml><?xml version="1.0" encoding="utf-8"?>
<sst xmlns="http://schemas.openxmlformats.org/spreadsheetml/2006/main" count="1069" uniqueCount="382">
  <si>
    <t>ID_OBLIGACION</t>
  </si>
  <si>
    <t>ASESOR</t>
  </si>
  <si>
    <t>CAMPANA</t>
  </si>
  <si>
    <t>CARTERA</t>
  </si>
  <si>
    <t>SUBCARTERA</t>
  </si>
  <si>
    <t>RUC_DNI</t>
  </si>
  <si>
    <t>RAZON_SOCIAL</t>
  </si>
  <si>
    <t>OPERACION</t>
  </si>
  <si>
    <t>FECHA_DE_PAGO</t>
  </si>
  <si>
    <t>MONTO</t>
  </si>
  <si>
    <t>ESTADO_PLANILLA</t>
  </si>
  <si>
    <t>PLANILLAS_PAGADAS</t>
  </si>
  <si>
    <t>PLANILLAS_VIGENTES</t>
  </si>
  <si>
    <t>CORREO_FACTURA</t>
  </si>
  <si>
    <t>NUMERO_FACTURA</t>
  </si>
  <si>
    <t>LAURA VILLANUEVA</t>
  </si>
  <si>
    <t>PREJUDICIAL FLUJO</t>
  </si>
  <si>
    <t>PRIMA_AFP_PREJUDICIAL_FLUJO</t>
  </si>
  <si>
    <t>CELESTE SERVICIOS GENERALES S.R.L.</t>
  </si>
  <si>
    <t>PARCIAL</t>
  </si>
  <si>
    <t>NAVARRO GUEVARA JOSE ERNESTO</t>
  </si>
  <si>
    <t>F001-00034431</t>
  </si>
  <si>
    <t>JAML FER E.I.R.L.</t>
  </si>
  <si>
    <t>TOTAL</t>
  </si>
  <si>
    <t>202506|202507|202508</t>
  </si>
  <si>
    <t>yosi3012@gmail.com</t>
  </si>
  <si>
    <t>F001-00034469</t>
  </si>
  <si>
    <t>CHERRY MATSON</t>
  </si>
  <si>
    <t>STUDIO 27 CREATING BEAUTY S.A.C.</t>
  </si>
  <si>
    <t>202505|202506|202507|202508</t>
  </si>
  <si>
    <t>F001-00034478</t>
  </si>
  <si>
    <t>OCTUBRE WORLD 2025</t>
  </si>
  <si>
    <t>REDIRECCIONAMIENTO</t>
  </si>
  <si>
    <t>PRIMA_AFP_REDIRECCIONAMIENTO</t>
  </si>
  <si>
    <t>SNIVE &amp; ASOCIADOS S.A.C.</t>
  </si>
  <si>
    <t>201309|201311|201312|201401|201402|201403|201405|201406|201407|201408|201409|201411|201412|201501|201502|201503|201505|201506|201507</t>
  </si>
  <si>
    <t>GIANCARLO VALLE</t>
  </si>
  <si>
    <t>F001-00034481</t>
  </si>
  <si>
    <t>SANDRA BENAVIDES</t>
  </si>
  <si>
    <t>POWER TIMBER S.A.C.</t>
  </si>
  <si>
    <t>adelcarpio@powertimber.com</t>
  </si>
  <si>
    <t>F001-00034461</t>
  </si>
  <si>
    <t>NEGOCIOS E INVERSIONES AURORA S.A.C.</t>
  </si>
  <si>
    <t>F001-00034492</t>
  </si>
  <si>
    <t>INVERSIONES Y REPRESENTACIONES FIRENZE SOCIEDAD ANONIMA CERRADA</t>
  </si>
  <si>
    <t>F001-00034548</t>
  </si>
  <si>
    <t>MUEBLERIA Y DECORACIONES MAYO E HIJOS E.I.R.L.</t>
  </si>
  <si>
    <t>F001-00034565</t>
  </si>
  <si>
    <t>CARLA CASTILLO</t>
  </si>
  <si>
    <t>GRUPO 3 ZIGNOS S.A.C.</t>
  </si>
  <si>
    <t>rrhh@2myz.com</t>
  </si>
  <si>
    <t>F001-00034569</t>
  </si>
  <si>
    <t>SERRANO ABARCA MAGNOLIA ROSARIO</t>
  </si>
  <si>
    <t>202503|202504|202505|202506|202507|202508</t>
  </si>
  <si>
    <t>MAGNOLIA ROSARIO SERRANO ABARCA</t>
  </si>
  <si>
    <t>F001-00034580</t>
  </si>
  <si>
    <t>EBALS CONSULTORES S.A.C.</t>
  </si>
  <si>
    <t>ecanchanya@romerore.com</t>
  </si>
  <si>
    <t>F001-00034110</t>
  </si>
  <si>
    <t>CALDAS VIA HUGO DAVID</t>
  </si>
  <si>
    <t>202502|202503|202504|202505|202506|202507|202508</t>
  </si>
  <si>
    <t>hcaldas201@gmail.com</t>
  </si>
  <si>
    <t>F001-00034596</t>
  </si>
  <si>
    <t>TTITO AMAU MISHELL ALEXANDRA</t>
  </si>
  <si>
    <t>F001-00034597</t>
  </si>
  <si>
    <t>AGROVET ANDINA GROUP S.A.C.</t>
  </si>
  <si>
    <t>F001-00034600</t>
  </si>
  <si>
    <t>CALDERON TAMAYO OLGA</t>
  </si>
  <si>
    <t>F001-00034602</t>
  </si>
  <si>
    <t>LINGYANG SOCIEDAD ANONIMA CERRADA - LINGYANG S.A.C.</t>
  </si>
  <si>
    <t>lijuzao@gmail.com</t>
  </si>
  <si>
    <t>F001-00034928</t>
  </si>
  <si>
    <t>DANIEL BARRIOS</t>
  </si>
  <si>
    <t>I &amp; M TELECOMUNICACIONES SAC</t>
  </si>
  <si>
    <t>201106|201108|201109|201110|201111|201112|201202|201203|201204|201205|201407</t>
  </si>
  <si>
    <t>contabilidad@iymtel.com</t>
  </si>
  <si>
    <t>F001-00034353</t>
  </si>
  <si>
    <t>HIDRO SUPPLY EIRL</t>
  </si>
  <si>
    <t>VICENTELLO DONAYRE LUIS MANUEL</t>
  </si>
  <si>
    <t>F001-00034625</t>
  </si>
  <si>
    <t>MACH ARQUITECTOS S.A.C.</t>
  </si>
  <si>
    <t>KAREN</t>
  </si>
  <si>
    <t>F001-00034646</t>
  </si>
  <si>
    <t>HERNANDEZ CRUZ JOSE LUIS</t>
  </si>
  <si>
    <t>202504|202505|202506|202507|202508</t>
  </si>
  <si>
    <t>F001-00034647</t>
  </si>
  <si>
    <t>JUAN FELIX</t>
  </si>
  <si>
    <t>NOVIEMBRE WORLD 2025</t>
  </si>
  <si>
    <t>DEUDA REAL TOTAL</t>
  </si>
  <si>
    <t>PRIMA_AFP_DEUDA_REAL_TOTAL</t>
  </si>
  <si>
    <t>MIAVAL E.I.R.L.</t>
  </si>
  <si>
    <t>F001-00034698</t>
  </si>
  <si>
    <t>QUISPE CALDERON LIZANDRO</t>
  </si>
  <si>
    <t>F001-00034708</t>
  </si>
  <si>
    <t>SERVICIOS TECNICOS DE INGENIERIA INDUSTRIAL METALICA SOCIEDAD COMERCIAL DE RESPONSABILIDAD LIMITADA</t>
  </si>
  <si>
    <t>200901|200902|200903|200905|200906|200907|200908</t>
  </si>
  <si>
    <t>200805|200806|200807|200812</t>
  </si>
  <si>
    <t>F001-00035089</t>
  </si>
  <si>
    <t>DE LIMA PAULINO GAMIO ARACELLI</t>
  </si>
  <si>
    <t>202507|202508|202509</t>
  </si>
  <si>
    <t>F001-00034713</t>
  </si>
  <si>
    <t>IDEAS APLICADAS SA</t>
  </si>
  <si>
    <t>F001-00034934</t>
  </si>
  <si>
    <t>GRUPO 33 PROYECTOS GASTRONOMICOS SOCIEDAD ANONIMA CERRADA</t>
  </si>
  <si>
    <t>F001-00034722</t>
  </si>
  <si>
    <t>CORPORACIÓN BENAVIDES &amp; ASOCIADOS GUTIERREZ S.A.C</t>
  </si>
  <si>
    <t>F001-00034723</t>
  </si>
  <si>
    <t>ARGUEDAS VIZCARRA RENE LUIS</t>
  </si>
  <si>
    <t>202508|202509</t>
  </si>
  <si>
    <t>encargado de pago</t>
  </si>
  <si>
    <t>F001-00034736</t>
  </si>
  <si>
    <t>INTEGRACION DE TECNOLOGIAS INMOBILIARIAS S.A.C.</t>
  </si>
  <si>
    <t>F001-00034740</t>
  </si>
  <si>
    <t>INSTITUCION EDUCATIVA PRIVADA SAN JUAN BAUTISTA DE LIMA S.A.C.</t>
  </si>
  <si>
    <t>ALLISON MICHELL</t>
  </si>
  <si>
    <t>F001-00034607</t>
  </si>
  <si>
    <t>ECHE CONSTRUCTORES E.I.R.L.</t>
  </si>
  <si>
    <t>cechevarria@echeconstructores.com</t>
  </si>
  <si>
    <t>F001-00034742</t>
  </si>
  <si>
    <t>GRUPO VARBUS SAC</t>
  </si>
  <si>
    <t>BARRIOS DEL MORAL EGDA BEATRIZ</t>
  </si>
  <si>
    <t>F001-00034757</t>
  </si>
  <si>
    <t>OBJETO S.A.C.</t>
  </si>
  <si>
    <t>F001-00034923</t>
  </si>
  <si>
    <t>XBEL TECHNOLOGY S.A.C.</t>
  </si>
  <si>
    <t>F001-00034761</t>
  </si>
  <si>
    <t>REPRESENTACIONES VALEFAN S.A.C.</t>
  </si>
  <si>
    <t>F001-00034763</t>
  </si>
  <si>
    <t>GT AMAO S.A.C.</t>
  </si>
  <si>
    <t>AMAO PEREZ RUDDY PILAR</t>
  </si>
  <si>
    <t>F001-00034764</t>
  </si>
  <si>
    <t>ALBER PROYECTOS EN GENERAL S.A.C.</t>
  </si>
  <si>
    <t>MARCO</t>
  </si>
  <si>
    <t>F001-00034765</t>
  </si>
  <si>
    <t>MONTENEGRO ROSALINO JOSE DALMAZ</t>
  </si>
  <si>
    <t>F001-00034774</t>
  </si>
  <si>
    <t>INVERSIONES Y SERVICIOS LOS LAGOS S.A.C.</t>
  </si>
  <si>
    <t>ANDREA</t>
  </si>
  <si>
    <t>F001-00034776</t>
  </si>
  <si>
    <t>SOFEDAS E.I.R.L.</t>
  </si>
  <si>
    <t>F001-00034778</t>
  </si>
  <si>
    <t>PERUVIAN INKA FRUIT S.A.C.</t>
  </si>
  <si>
    <t>Juan Damian</t>
  </si>
  <si>
    <t>F001-00034792</t>
  </si>
  <si>
    <t>INDUSTRIAS DEL FRIO FA MAU S.A.C.</t>
  </si>
  <si>
    <t>F001-00034793</t>
  </si>
  <si>
    <t>JDM STO DOMINGO DE GUZMAN S.A.C.</t>
  </si>
  <si>
    <t>CARLA GASTELO</t>
  </si>
  <si>
    <t>F001-00034794</t>
  </si>
  <si>
    <t>COPY FAST TECH S.A.C.</t>
  </si>
  <si>
    <t>201201|201202|201203|201205|201206|201207|201208|201209|201211|201212</t>
  </si>
  <si>
    <t>201101|201102|201103|201105|201106|201107|201108|201109|201111|201112|201301|201302|201303|201305|201306|201307|201308|201309|201311|201312|201401|201</t>
  </si>
  <si>
    <t>CESAR ASTUPINARO</t>
  </si>
  <si>
    <t>F001-00034936</t>
  </si>
  <si>
    <t>CORPORACION VIRGEN DE GUADALUPE SOCIEDAD ANONIMA CERRADA-CORPORACION VIRGEN DE GUADALUPE S.A.C.</t>
  </si>
  <si>
    <t>F001-00034812</t>
  </si>
  <si>
    <t>TRANSPORTES CAJITAS CARGO E.I.R.L.</t>
  </si>
  <si>
    <t>202505|202506|202507|202508|202509</t>
  </si>
  <si>
    <t>F001-00034811</t>
  </si>
  <si>
    <t>MRL IMPORT &amp; TRADING S.A.C</t>
  </si>
  <si>
    <t>cory</t>
  </si>
  <si>
    <t>F001-00034818</t>
  </si>
  <si>
    <t>CORPORACION TEXAM CHAVEZ S.A.C.</t>
  </si>
  <si>
    <t>F001-00034819</t>
  </si>
  <si>
    <t>HEARTBEAT MARKETING S.A.C.</t>
  </si>
  <si>
    <t>F001-00034820</t>
  </si>
  <si>
    <t>TRUCK EXPERTPERU S.A.C.</t>
  </si>
  <si>
    <t>F001-00034927</t>
  </si>
  <si>
    <t>FORESTALES DAXSA E.I.R.L.</t>
  </si>
  <si>
    <t>201306|201307|201308|201309|201310|201312|201401|201402|201403|201404|201406|201407|201408|201409|201410</t>
  </si>
  <si>
    <t>201205|201211|201311|201405|201411|201412|201501|201502|201503|201504|201505|201506|201507|201508|201509|201510|201511|201512|201601</t>
  </si>
  <si>
    <t>Rosa Yzique</t>
  </si>
  <si>
    <t>F001-00034400</t>
  </si>
  <si>
    <t>MEAT GOURMET HP S.A.C.</t>
  </si>
  <si>
    <t>F001-00034831</t>
  </si>
  <si>
    <t>MOLINERA DON JULIO S.A.C.</t>
  </si>
  <si>
    <t>INGRID</t>
  </si>
  <si>
    <t>F001-00034832</t>
  </si>
  <si>
    <t>TUBOL S.A.</t>
  </si>
  <si>
    <t>ROSA DE RAMOS</t>
  </si>
  <si>
    <t>F001-00034833</t>
  </si>
  <si>
    <t>PRESUNTA</t>
  </si>
  <si>
    <t>PRIMA_AFP_PRESUNTA</t>
  </si>
  <si>
    <t>WG HOLZ SOCIEDAD ANONIMA CERRADA - WG HOLZ S.A.C.</t>
  </si>
  <si>
    <t>201911|201912|202001|202002|202003|202004|202105|202106|202107|202108|202109|202110|202111|202112|202201|202202|202203|202204|202205|202206|202207|202</t>
  </si>
  <si>
    <t>comercial@wgholz.com</t>
  </si>
  <si>
    <t>F001-00035074</t>
  </si>
  <si>
    <t>HR SOLUTIONS &amp; SUPPORT E.I.R.L.</t>
  </si>
  <si>
    <t>rjordan@hrssolutionssupport.com</t>
  </si>
  <si>
    <t>F001-00034851</t>
  </si>
  <si>
    <t>GINOR EMPRESA INDIVIDUAL DE RESPONSABILIDAD LIMITA</t>
  </si>
  <si>
    <t>200901|200902|200903|200905|200906|200907|200908|200909|200911|200912|201001|201002</t>
  </si>
  <si>
    <t>201003|201004|201005|201006|201007|201008|201009|201010|201011|201012|201101|201103|201104|201105|201106|201107|201109|201110|201111|201112|201201|201</t>
  </si>
  <si>
    <t>F001-00034398</t>
  </si>
  <si>
    <t>HRC ENGINEERED SECURITY S.A.C.</t>
  </si>
  <si>
    <t>F001-00034852</t>
  </si>
  <si>
    <t>METAL GROUP M&amp;R SOCIEDAD ANONIMA CERRADA</t>
  </si>
  <si>
    <t>PANDURO ARZAPALO FIORELLA BETZABETH</t>
  </si>
  <si>
    <t>F001-00034854</t>
  </si>
  <si>
    <t>HV ELECTRIC SERVICES S.A.C.</t>
  </si>
  <si>
    <t>F001-00034403</t>
  </si>
  <si>
    <t>INVERSIONES MAQUINSERVICE S.A.C.</t>
  </si>
  <si>
    <t>202506|202507|202508|202509</t>
  </si>
  <si>
    <t>ceadel@hotmail.com</t>
  </si>
  <si>
    <t>F001-00034855</t>
  </si>
  <si>
    <t>CORPORACION ELIANA E.I.R.L.</t>
  </si>
  <si>
    <t>201208|201209|201210|201211</t>
  </si>
  <si>
    <t>201212|201302|201303|201304</t>
  </si>
  <si>
    <t>F001-00034945</t>
  </si>
  <si>
    <t>INDUSTRIAS GANADERAS HP S.A.C.</t>
  </si>
  <si>
    <t>F001-00034865</t>
  </si>
  <si>
    <t>CENTRO AGROPECUARIO PUENTE S.R.L.</t>
  </si>
  <si>
    <t>F001-00034866</t>
  </si>
  <si>
    <t>CAPRI´S BULLS S.R.L.</t>
  </si>
  <si>
    <t>F001-00034874</t>
  </si>
  <si>
    <t>MULTISERVICIOS MEJAMS S.A.C.</t>
  </si>
  <si>
    <t>F001-00034875</t>
  </si>
  <si>
    <t>ARQUITEX S A</t>
  </si>
  <si>
    <t>F001-00034877</t>
  </si>
  <si>
    <t>AGROPECUARIA VALLECITO S.A.</t>
  </si>
  <si>
    <t>200505|200711|200712</t>
  </si>
  <si>
    <t>cfarronay@avallecito.com</t>
  </si>
  <si>
    <t>F001-00034886</t>
  </si>
  <si>
    <t>VEGA RODRIGUEZ MIGUEL ANGEL</t>
  </si>
  <si>
    <t>F001-00034893</t>
  </si>
  <si>
    <t>ARCONDI ARQUITECTOS E INGENIEROS SERVICIOS GENERALES E.I.R.L</t>
  </si>
  <si>
    <t>CERNA MUÑOZ CRISTIAN PAUL</t>
  </si>
  <si>
    <t>F001-00034904</t>
  </si>
  <si>
    <t>DEXER S R L</t>
  </si>
  <si>
    <t>F001-00034906</t>
  </si>
  <si>
    <t>AYVA E.I.R.L.</t>
  </si>
  <si>
    <t>MEDINA GUTIERREZ YEFERSON FREDY</t>
  </si>
  <si>
    <t>F001-00034910</t>
  </si>
  <si>
    <t>CONSULTORA MORALES &amp; REYES SOCIEDAD ANONIMA CERRADA - CONSULTORA MORALES &amp; REYES S.A.C.</t>
  </si>
  <si>
    <t>MARIA DEL ROSARIO</t>
  </si>
  <si>
    <t>F001-00034920</t>
  </si>
  <si>
    <t>CORPORACION CLEANWORK E.I.R.L.</t>
  </si>
  <si>
    <t>F001-00034951</t>
  </si>
  <si>
    <t>DEL MAR SUREÑO SOCIEDAD ANONIMA CERRADA</t>
  </si>
  <si>
    <t>F001-00034954</t>
  </si>
  <si>
    <t>REPRESENTACIONES LA REINA S.A.C.</t>
  </si>
  <si>
    <t>kell_261@hotmail.com</t>
  </si>
  <si>
    <t>F001-00034968</t>
  </si>
  <si>
    <t>ROSA VILLARREAL</t>
  </si>
  <si>
    <t>INGO CASA PERU S.A.C.</t>
  </si>
  <si>
    <t>200901|200902</t>
  </si>
  <si>
    <t>F001-00034969</t>
  </si>
  <si>
    <t>FABRICACIONES OSELU E.I.R.L.</t>
  </si>
  <si>
    <t>TICONA BUSTAMANTE NILTON FERNANDO</t>
  </si>
  <si>
    <t>F001-00034972</t>
  </si>
  <si>
    <t>TABLEROS KEPAL E.I.R.L</t>
  </si>
  <si>
    <t>F001-00034973</t>
  </si>
  <si>
    <t>SALVADOR LOGISTICA INTEGRADA S.A.C</t>
  </si>
  <si>
    <t>CHAVEZ TEJADA CARLOS ALFREDO</t>
  </si>
  <si>
    <t>F001-00034977</t>
  </si>
  <si>
    <t>TABLEROS BREÑA S.A.C.</t>
  </si>
  <si>
    <t>ORE LUNA CARLA MARIA</t>
  </si>
  <si>
    <t>F001-00034956</t>
  </si>
  <si>
    <t>INVERSIONES REFCH E.I.R.L.</t>
  </si>
  <si>
    <t>EMPERATRIZ</t>
  </si>
  <si>
    <t>F001-00034985</t>
  </si>
  <si>
    <t>MULTISERVICIOS MENA E.I.R.L.</t>
  </si>
  <si>
    <t>josepablomenasflores25@gmail.com</t>
  </si>
  <si>
    <t>F001-00035003</t>
  </si>
  <si>
    <t>ATESA TRANS E.I.R.L</t>
  </si>
  <si>
    <t>GABRIEL GAVILANO</t>
  </si>
  <si>
    <t>F001-00035004</t>
  </si>
  <si>
    <t>GRUPO DUOFARMA PERU S.A.C.</t>
  </si>
  <si>
    <t>DE LA CRUZ ACEVEDO ROSELIN DE LOS ANGELES</t>
  </si>
  <si>
    <t>F001-00035005</t>
  </si>
  <si>
    <t>OVM SAC</t>
  </si>
  <si>
    <t>200806|200807|200808|200809|200810|200812|200901|200902|200903|200904|200906|200907|200908|200909|200910|200912</t>
  </si>
  <si>
    <t>F001-00035006</t>
  </si>
  <si>
    <t>TRANSCASE SERVICIOS LOGISTICOS S.A.C.</t>
  </si>
  <si>
    <t>CASTAÑEDA SEVILLANO SARA MILAGROS</t>
  </si>
  <si>
    <t>F001-00035007</t>
  </si>
  <si>
    <t>ITS MANAGEMENT S.A.C.</t>
  </si>
  <si>
    <t>ARNES DE VICENTE JORGE</t>
  </si>
  <si>
    <t>F001-00035008</t>
  </si>
  <si>
    <t>REFRIGERACION Y SERVICIOS GENERALES ALCASA S.A.C.</t>
  </si>
  <si>
    <t>F001-00035011</t>
  </si>
  <si>
    <t>RH ORQUIDEAS S.A.C.</t>
  </si>
  <si>
    <t>F001-00035030</t>
  </si>
  <si>
    <t>ROHA CONSTRUCCION Y MINERIA S.A.C.</t>
  </si>
  <si>
    <t>F001-00035035</t>
  </si>
  <si>
    <t>AREVALO CORONADO HENRY</t>
  </si>
  <si>
    <t>F001-00035037</t>
  </si>
  <si>
    <t>CORPORATIVO ATAUCHI E.I.R.L.</t>
  </si>
  <si>
    <t>scala.consultores20@gmail.com</t>
  </si>
  <si>
    <t>F001-00035075</t>
  </si>
  <si>
    <t>VIGO PERU S.A.C.</t>
  </si>
  <si>
    <t>F001-00035040</t>
  </si>
  <si>
    <t>CANTERA PATAPO LA VICTORIA SA</t>
  </si>
  <si>
    <t>F001-00035041</t>
  </si>
  <si>
    <t>CORPORACION BODY POWER S.A.C.</t>
  </si>
  <si>
    <t>CASTRO BAUTISTA JOSEPH</t>
  </si>
  <si>
    <t>F001-00035045</t>
  </si>
  <si>
    <t>ASOCIACION BIO HUERTO VILLA MIRAFLORES</t>
  </si>
  <si>
    <t>biohuerto2018@hotmail.com</t>
  </si>
  <si>
    <t>F001-00035046</t>
  </si>
  <si>
    <t>CAMARA INTERNACIONAL DE GASTRONOMIA</t>
  </si>
  <si>
    <t>F001-00035047</t>
  </si>
  <si>
    <t>EMPRESA DE TRANSPORTES GAF LAOS E.I.R.L. - GAF LAOS E.I.R.L.</t>
  </si>
  <si>
    <t>F001-00035048</t>
  </si>
  <si>
    <t>SIETE MEDIOS S.A.C.</t>
  </si>
  <si>
    <t>LISETH</t>
  </si>
  <si>
    <t>F001-00035092</t>
  </si>
  <si>
    <t>MASIAS MARROU MANUEL ESTUARDO</t>
  </si>
  <si>
    <t>F001-00034665</t>
  </si>
  <si>
    <t>ASOCIACION CIVIL EDUCATIVA AGAPE KAI DIACONIA-OLMOS</t>
  </si>
  <si>
    <t>202506|202507</t>
  </si>
  <si>
    <t>QUIROZ CARMONA AURA ROSA</t>
  </si>
  <si>
    <t>F001-00035104</t>
  </si>
  <si>
    <t>4A SOLUCIONES INTEGRALES S.A.C.</t>
  </si>
  <si>
    <t>CARHUAPOMA GALARZA FANNY</t>
  </si>
  <si>
    <t>F001-00035109</t>
  </si>
  <si>
    <t>NUÑEZ SAAVEDRA SILVESTRE</t>
  </si>
  <si>
    <t>F001-00035115</t>
  </si>
  <si>
    <t>GRUPO TEKNOMEAL - FYN S.A.C.</t>
  </si>
  <si>
    <t>F001-00035122</t>
  </si>
  <si>
    <t>CLINICA SOLIDARIA SANTA ANITA SOCIEDAD ANONIMA CERRADA - CLINICA SOLIDARIA SANTA ANITA S.A.C.</t>
  </si>
  <si>
    <t>F001-00035128</t>
  </si>
  <si>
    <t>JCR PRODUCCIONES S.R.L.</t>
  </si>
  <si>
    <t>JIMMY</t>
  </si>
  <si>
    <t>F001-00035129</t>
  </si>
  <si>
    <t>ESTILOS DARUAST E.I.R.L.</t>
  </si>
  <si>
    <t>AGUILAR RODRIGUEZ MELCHORA MARTHA</t>
  </si>
  <si>
    <t>F001-00035132</t>
  </si>
  <si>
    <t>EMPRESA DE TRANSPORTES Y SERVICIOS GENERALES ABESA E.I.R.L.</t>
  </si>
  <si>
    <t>F001-00035135</t>
  </si>
  <si>
    <t>CARMEN NIÑO</t>
  </si>
  <si>
    <t>ANA KAREN NEGOCIOS Y REPRESENTACIONES S.A.C.</t>
  </si>
  <si>
    <t>F001-00035136</t>
  </si>
  <si>
    <t>AQUA FLASH - FONTANEROS S.R.L.</t>
  </si>
  <si>
    <t>F001-00035138</t>
  </si>
  <si>
    <t>VITALITY S.A.C.</t>
  </si>
  <si>
    <t>F001-00035142</t>
  </si>
  <si>
    <t>ROSALES HUERTA JANDO DIOGENES</t>
  </si>
  <si>
    <t>chauca figueroa jessenia leynnie</t>
  </si>
  <si>
    <t>F001-00034732</t>
  </si>
  <si>
    <t>MONTAJES Y OBRAS ELECTRICAS DEL NORTE EMPRESA INDIVIDUAL DE RESPONSABILIDAD LIMITADA</t>
  </si>
  <si>
    <t>202504|202505|202506|202507|202508|202509</t>
  </si>
  <si>
    <t>F001-00035143</t>
  </si>
  <si>
    <t>S &amp; V TRANSPORTE Y SERVICIOS GENERALES S.A.C.</t>
  </si>
  <si>
    <t>F001-00035152</t>
  </si>
  <si>
    <t>M &amp; M SOLUCIONES EN CAPITAL HUMANO SAC</t>
  </si>
  <si>
    <t>ALEX</t>
  </si>
  <si>
    <t>F001-00035155</t>
  </si>
  <si>
    <t>VILA ESQUIVEL DOLLY CARMELA</t>
  </si>
  <si>
    <t>PANADERIA Y PASTELERIA AVE MARIA E.I.R.L</t>
  </si>
  <si>
    <t>GARCIA CASTILLO ROSA</t>
  </si>
  <si>
    <t>F001-00035161</t>
  </si>
  <si>
    <t>CORPORACION ANGO S.A.C.</t>
  </si>
  <si>
    <t>ANGO HUAMAN BERTHA</t>
  </si>
  <si>
    <t>F001-00035165</t>
  </si>
  <si>
    <t>MAGOKORO SERVICE E.I.R.L.</t>
  </si>
  <si>
    <t>EDWIN</t>
  </si>
  <si>
    <t>F001-00035168</t>
  </si>
  <si>
    <t>BUTRON RIVEROS JOHNNY AUGUSTO</t>
  </si>
  <si>
    <t>rsarmiento.contador@gmail.com</t>
  </si>
  <si>
    <t>F001-00035174</t>
  </si>
  <si>
    <t>INVERSIONES Y SERVICIOS REMA S.A.C.</t>
  </si>
  <si>
    <t>FIORELLA RIVERA</t>
  </si>
  <si>
    <t>F001-00035177</t>
  </si>
  <si>
    <t>IMPORTACIONES D´LIDIA EIRL</t>
  </si>
  <si>
    <t>HUANCA QUISPE LIDIA</t>
  </si>
  <si>
    <t>DECORACIONES DE INTERIORES SOMAR E.I.R.L</t>
  </si>
  <si>
    <t>LOTTUS CORPORATION EMPRESA INDIVIDUAL DE RESPONSABILIDAD LIMITADA</t>
  </si>
  <si>
    <t>MASTER METAL SERVICE E.I.R.L.</t>
  </si>
  <si>
    <t>ALLESMARKT EMPRESA INDIVIDUAL DE RESPONSABILIDAD LIMITADA - ALLESMARKT E.I.R.L.</t>
  </si>
  <si>
    <t>202504|202506|202507|202508|202509</t>
  </si>
  <si>
    <t>INMOBILIARIA CAVANA S.A.C.</t>
  </si>
  <si>
    <t>PRANEE SOCIEDAD ANONIMA CERRADA</t>
  </si>
  <si>
    <t>NATALI UGAZ</t>
  </si>
  <si>
    <t>LEON TRUCK LOGISTICS E.I.R.L.</t>
  </si>
  <si>
    <t>DAVID LEON</t>
  </si>
  <si>
    <t>SERVIARTE DRYWALL S.A.C.</t>
  </si>
  <si>
    <t>CHAMBI CHAMBI EFRAIN GERMAN</t>
  </si>
  <si>
    <t>VILLE BLUE E.I.R.L.</t>
  </si>
  <si>
    <t>H &amp; Q COMERCIAL LISAGE E.I.R.L</t>
  </si>
  <si>
    <t>VALOR VENTA</t>
  </si>
  <si>
    <t>IGV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</si>
</sst>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S/-280A]\ * #,##0.00_-;\-[$S/-280A]\ * #,##0.00_-;_-[$S/-280A]\ * &quot;-&quot;??_-;_-@_-"/>
  </numFmts>
  <fonts count="3" x14ac:knownFonts="1">
    <font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EEEEE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/>
    <xf numFmtId="0" fontId="2" fillId="0" borderId="0" xfId="0" applyFont="1" applyAlignment="1">
      <alignment wrapText="1"/>
    </xf>
    <xf numFmtId="14" fontId="2" fillId="0" borderId="0" xfId="0" applyNumberFormat="1" applyFont="1" applyAlignment="1">
      <alignment wrapText="1"/>
    </xf>
    <xf numFmtId="0" fontId="2" fillId="0" borderId="0" xfId="0" applyFont="1"/>
    <xf numFmtId="164" fontId="1" fillId="3" borderId="1" xfId="0" applyNumberFormat="1" applyFont="1" applyFill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wrapText="1"/>
    </xf>
    <xf numFmtId="164" fontId="2" fillId="4" borderId="1" xfId="0" applyNumberFormat="1" applyFont="1" applyFill="1" applyBorder="1" applyAlignment="1">
      <alignment wrapText="1"/>
    </xf>
    <xf numFmtId="0" fontId="2" fillId="4" borderId="0" xfId="0" applyFont="1" applyFill="1"/>
    <xf numFmtId="164" fontId="2" fillId="4" borderId="0" xfId="0" applyNumberFormat="1" applyFont="1" applyFill="1"/>
    <xf numFmtId="164" fontId="2" fillId="5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BD549-6BD9-4566-86B2-4950053DB95E}">
  <dimension ref="A1:Q136"/>
  <sheetViews>
    <sheetView tabSelected="1" topLeftCell="A98" workbookViewId="0">
      <selection activeCell="J112" sqref="J112"/>
    </sheetView>
  </sheetViews>
  <sheetFormatPr baseColWidth="10" defaultRowHeight="10.050000000000001" customHeight="1" x14ac:dyDescent="0.2"/>
  <cols>
    <col min="1" max="11" width="11.5546875" style="9"/>
    <col min="12" max="12" width="11.5546875" style="10"/>
    <col min="13" max="16384" width="11.5546875" style="9"/>
  </cols>
  <sheetData>
    <row r="1" spans="1:17" s="2" customFormat="1" ht="10.050000000000001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6" t="s">
        <v>380</v>
      </c>
      <c r="K1" s="6" t="s">
        <v>381</v>
      </c>
      <c r="L1" s="6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</row>
    <row r="2" spans="1:17" s="5" customFormat="1" ht="10.050000000000001" customHeight="1" x14ac:dyDescent="0.2">
      <c r="A2" s="3">
        <v>76159456</v>
      </c>
      <c r="B2" s="3" t="s">
        <v>15</v>
      </c>
      <c r="C2" s="3" t="s">
        <v>31</v>
      </c>
      <c r="D2" s="3" t="s">
        <v>16</v>
      </c>
      <c r="E2" s="3" t="s">
        <v>17</v>
      </c>
      <c r="F2" s="3">
        <v>20526548311</v>
      </c>
      <c r="G2" s="3" t="s">
        <v>18</v>
      </c>
      <c r="H2" s="3">
        <v>20526548311</v>
      </c>
      <c r="I2" s="4">
        <v>45963</v>
      </c>
      <c r="J2" s="7">
        <f>+L2/1.18</f>
        <v>60.16949152542373</v>
      </c>
      <c r="K2" s="7">
        <f>J2*0.18</f>
        <v>10.830508474576272</v>
      </c>
      <c r="L2" s="8">
        <v>71</v>
      </c>
      <c r="M2" s="3" t="s">
        <v>19</v>
      </c>
      <c r="N2" s="3">
        <v>202508</v>
      </c>
      <c r="O2" s="3">
        <v>202508</v>
      </c>
      <c r="P2" s="3" t="s">
        <v>20</v>
      </c>
      <c r="Q2" s="3" t="s">
        <v>21</v>
      </c>
    </row>
    <row r="3" spans="1:17" s="5" customFormat="1" ht="10.050000000000001" customHeight="1" x14ac:dyDescent="0.2">
      <c r="A3" s="3">
        <v>76162322</v>
      </c>
      <c r="B3" s="3" t="s">
        <v>15</v>
      </c>
      <c r="C3" s="3" t="s">
        <v>31</v>
      </c>
      <c r="D3" s="3" t="s">
        <v>16</v>
      </c>
      <c r="E3" s="3" t="s">
        <v>17</v>
      </c>
      <c r="F3" s="3">
        <v>20607706213</v>
      </c>
      <c r="G3" s="3" t="s">
        <v>22</v>
      </c>
      <c r="H3" s="3">
        <v>20607706213</v>
      </c>
      <c r="I3" s="4">
        <v>45965</v>
      </c>
      <c r="J3" s="7">
        <f t="shared" ref="J3:J66" si="0">+L3/1.18</f>
        <v>59.322033898305087</v>
      </c>
      <c r="K3" s="7">
        <f t="shared" ref="K3:K66" si="1">J3*0.18</f>
        <v>10.677966101694915</v>
      </c>
      <c r="L3" s="8">
        <v>70</v>
      </c>
      <c r="M3" s="3" t="s">
        <v>23</v>
      </c>
      <c r="N3" s="3" t="s">
        <v>24</v>
      </c>
      <c r="O3" s="3"/>
      <c r="P3" s="3" t="s">
        <v>25</v>
      </c>
      <c r="Q3" s="3" t="s">
        <v>26</v>
      </c>
    </row>
    <row r="4" spans="1:17" s="5" customFormat="1" ht="10.050000000000001" customHeight="1" x14ac:dyDescent="0.2">
      <c r="A4" s="3">
        <v>76163094</v>
      </c>
      <c r="B4" s="3" t="s">
        <v>27</v>
      </c>
      <c r="C4" s="3" t="s">
        <v>31</v>
      </c>
      <c r="D4" s="3" t="s">
        <v>16</v>
      </c>
      <c r="E4" s="3" t="s">
        <v>17</v>
      </c>
      <c r="F4" s="3">
        <v>20610764691</v>
      </c>
      <c r="G4" s="3" t="s">
        <v>28</v>
      </c>
      <c r="H4" s="3">
        <v>20610764691</v>
      </c>
      <c r="I4" s="4">
        <v>45965</v>
      </c>
      <c r="J4" s="7">
        <f t="shared" si="0"/>
        <v>77.70338983050847</v>
      </c>
      <c r="K4" s="7">
        <f t="shared" si="1"/>
        <v>13.986610169491524</v>
      </c>
      <c r="L4" s="8">
        <v>91.69</v>
      </c>
      <c r="M4" s="3" t="s">
        <v>23</v>
      </c>
      <c r="N4" s="3" t="s">
        <v>29</v>
      </c>
      <c r="O4" s="3"/>
      <c r="P4" s="3"/>
      <c r="Q4" s="3" t="s">
        <v>30</v>
      </c>
    </row>
    <row r="5" spans="1:17" s="5" customFormat="1" ht="10.050000000000001" customHeight="1" x14ac:dyDescent="0.2">
      <c r="A5" s="3">
        <v>76167764</v>
      </c>
      <c r="B5" s="3" t="s">
        <v>15</v>
      </c>
      <c r="C5" s="3" t="s">
        <v>31</v>
      </c>
      <c r="D5" s="3" t="s">
        <v>32</v>
      </c>
      <c r="E5" s="3" t="s">
        <v>33</v>
      </c>
      <c r="F5" s="3">
        <v>20551433073</v>
      </c>
      <c r="G5" s="3" t="s">
        <v>34</v>
      </c>
      <c r="H5" s="3">
        <v>20551433073</v>
      </c>
      <c r="I5" s="4">
        <v>45965</v>
      </c>
      <c r="J5" s="7">
        <f t="shared" si="0"/>
        <v>423.72881355932208</v>
      </c>
      <c r="K5" s="7">
        <f t="shared" si="1"/>
        <v>76.271186440677965</v>
      </c>
      <c r="L5" s="8">
        <v>500</v>
      </c>
      <c r="M5" s="3" t="s">
        <v>23</v>
      </c>
      <c r="N5" s="3" t="s">
        <v>35</v>
      </c>
      <c r="O5" s="3"/>
      <c r="P5" s="3" t="s">
        <v>36</v>
      </c>
      <c r="Q5" s="3" t="s">
        <v>37</v>
      </c>
    </row>
    <row r="6" spans="1:17" s="5" customFormat="1" ht="10.050000000000001" customHeight="1" x14ac:dyDescent="0.2">
      <c r="A6" s="3">
        <v>76163635</v>
      </c>
      <c r="B6" s="3" t="s">
        <v>38</v>
      </c>
      <c r="C6" s="3" t="s">
        <v>31</v>
      </c>
      <c r="D6" s="3" t="s">
        <v>16</v>
      </c>
      <c r="E6" s="3" t="s">
        <v>17</v>
      </c>
      <c r="F6" s="3">
        <v>20612976571</v>
      </c>
      <c r="G6" s="3" t="s">
        <v>39</v>
      </c>
      <c r="H6" s="3">
        <v>20612976571</v>
      </c>
      <c r="I6" s="4">
        <v>45964</v>
      </c>
      <c r="J6" s="7">
        <f t="shared" si="0"/>
        <v>161.0169491525424</v>
      </c>
      <c r="K6" s="7">
        <f t="shared" si="1"/>
        <v>28.98305084745763</v>
      </c>
      <c r="L6" s="8">
        <v>190</v>
      </c>
      <c r="M6" s="3" t="s">
        <v>23</v>
      </c>
      <c r="N6" s="3">
        <v>202508</v>
      </c>
      <c r="O6" s="3"/>
      <c r="P6" s="3" t="s">
        <v>40</v>
      </c>
      <c r="Q6" s="3" t="s">
        <v>41</v>
      </c>
    </row>
    <row r="7" spans="1:17" s="5" customFormat="1" ht="10.050000000000001" customHeight="1" x14ac:dyDescent="0.2">
      <c r="A7" s="3">
        <v>76160638</v>
      </c>
      <c r="B7" s="3" t="s">
        <v>27</v>
      </c>
      <c r="C7" s="3" t="s">
        <v>31</v>
      </c>
      <c r="D7" s="3" t="s">
        <v>16</v>
      </c>
      <c r="E7" s="3" t="s">
        <v>17</v>
      </c>
      <c r="F7" s="3">
        <v>20601145970</v>
      </c>
      <c r="G7" s="3" t="s">
        <v>42</v>
      </c>
      <c r="H7" s="3">
        <v>20601145970</v>
      </c>
      <c r="I7" s="4">
        <v>45965</v>
      </c>
      <c r="J7" s="7">
        <f t="shared" si="0"/>
        <v>141.46610169491527</v>
      </c>
      <c r="K7" s="7">
        <f t="shared" si="1"/>
        <v>25.463898305084747</v>
      </c>
      <c r="L7" s="8">
        <v>166.93</v>
      </c>
      <c r="M7" s="3" t="s">
        <v>23</v>
      </c>
      <c r="N7" s="3">
        <v>202508</v>
      </c>
      <c r="O7" s="3"/>
      <c r="P7" s="3"/>
      <c r="Q7" s="3" t="s">
        <v>43</v>
      </c>
    </row>
    <row r="8" spans="1:17" s="5" customFormat="1" ht="10.050000000000001" customHeight="1" x14ac:dyDescent="0.2">
      <c r="A8" s="3">
        <v>76158744</v>
      </c>
      <c r="B8" s="3" t="s">
        <v>27</v>
      </c>
      <c r="C8" s="3" t="s">
        <v>31</v>
      </c>
      <c r="D8" s="3" t="s">
        <v>16</v>
      </c>
      <c r="E8" s="3" t="s">
        <v>17</v>
      </c>
      <c r="F8" s="3">
        <v>20454041373</v>
      </c>
      <c r="G8" s="3" t="s">
        <v>44</v>
      </c>
      <c r="H8" s="3">
        <v>20454041373</v>
      </c>
      <c r="I8" s="4">
        <v>45967</v>
      </c>
      <c r="J8" s="7">
        <f t="shared" si="0"/>
        <v>57.813559322033903</v>
      </c>
      <c r="K8" s="7">
        <f t="shared" si="1"/>
        <v>10.406440677966103</v>
      </c>
      <c r="L8" s="8">
        <v>68.22</v>
      </c>
      <c r="M8" s="3" t="s">
        <v>23</v>
      </c>
      <c r="N8" s="3">
        <v>202508</v>
      </c>
      <c r="O8" s="3"/>
      <c r="P8" s="3"/>
      <c r="Q8" s="3" t="s">
        <v>45</v>
      </c>
    </row>
    <row r="9" spans="1:17" s="5" customFormat="1" ht="10.050000000000001" customHeight="1" x14ac:dyDescent="0.2">
      <c r="A9" s="3">
        <v>76158811</v>
      </c>
      <c r="B9" s="3" t="s">
        <v>27</v>
      </c>
      <c r="C9" s="3" t="s">
        <v>31</v>
      </c>
      <c r="D9" s="3" t="s">
        <v>16</v>
      </c>
      <c r="E9" s="3" t="s">
        <v>17</v>
      </c>
      <c r="F9" s="3">
        <v>20477677682</v>
      </c>
      <c r="G9" s="3" t="s">
        <v>46</v>
      </c>
      <c r="H9" s="3">
        <v>20477677682</v>
      </c>
      <c r="I9" s="4">
        <v>45967</v>
      </c>
      <c r="J9" s="7">
        <f t="shared" si="0"/>
        <v>56.016949152542374</v>
      </c>
      <c r="K9" s="7">
        <f t="shared" si="1"/>
        <v>10.083050847457628</v>
      </c>
      <c r="L9" s="8">
        <v>66.099999999999994</v>
      </c>
      <c r="M9" s="3" t="s">
        <v>23</v>
      </c>
      <c r="N9" s="3">
        <v>202508</v>
      </c>
      <c r="O9" s="3"/>
      <c r="P9" s="3"/>
      <c r="Q9" s="3" t="s">
        <v>47</v>
      </c>
    </row>
    <row r="10" spans="1:17" s="5" customFormat="1" ht="10.050000000000001" customHeight="1" x14ac:dyDescent="0.2">
      <c r="A10" s="3">
        <v>76165173</v>
      </c>
      <c r="B10" s="3" t="s">
        <v>48</v>
      </c>
      <c r="C10" s="3" t="s">
        <v>31</v>
      </c>
      <c r="D10" s="3" t="s">
        <v>32</v>
      </c>
      <c r="E10" s="3" t="s">
        <v>33</v>
      </c>
      <c r="F10" s="3">
        <v>20425477430</v>
      </c>
      <c r="G10" s="3" t="s">
        <v>49</v>
      </c>
      <c r="H10" s="3">
        <v>20425477430</v>
      </c>
      <c r="I10" s="4">
        <v>45967</v>
      </c>
      <c r="J10" s="7">
        <f t="shared" si="0"/>
        <v>119.05084745762711</v>
      </c>
      <c r="K10" s="7">
        <f t="shared" si="1"/>
        <v>21.429152542372879</v>
      </c>
      <c r="L10" s="8">
        <v>140.47999999999999</v>
      </c>
      <c r="M10" s="3" t="s">
        <v>23</v>
      </c>
      <c r="N10" s="3">
        <v>200801</v>
      </c>
      <c r="O10" s="3"/>
      <c r="P10" s="3" t="s">
        <v>50</v>
      </c>
      <c r="Q10" s="3" t="s">
        <v>51</v>
      </c>
    </row>
    <row r="11" spans="1:17" s="5" customFormat="1" ht="10.050000000000001" customHeight="1" x14ac:dyDescent="0.2">
      <c r="A11" s="3">
        <v>76158175</v>
      </c>
      <c r="B11" s="3" t="s">
        <v>15</v>
      </c>
      <c r="C11" s="3" t="s">
        <v>31</v>
      </c>
      <c r="D11" s="3" t="s">
        <v>16</v>
      </c>
      <c r="E11" s="3" t="s">
        <v>17</v>
      </c>
      <c r="F11" s="3">
        <v>30655329</v>
      </c>
      <c r="G11" s="3" t="s">
        <v>52</v>
      </c>
      <c r="H11" s="3">
        <v>10306553297</v>
      </c>
      <c r="I11" s="4">
        <v>45968</v>
      </c>
      <c r="J11" s="7">
        <f t="shared" si="0"/>
        <v>116.94915254237289</v>
      </c>
      <c r="K11" s="7">
        <f t="shared" si="1"/>
        <v>21.050847457627118</v>
      </c>
      <c r="L11" s="8">
        <v>138</v>
      </c>
      <c r="M11" s="3" t="s">
        <v>23</v>
      </c>
      <c r="N11" s="3" t="s">
        <v>53</v>
      </c>
      <c r="O11" s="3"/>
      <c r="P11" s="3" t="s">
        <v>54</v>
      </c>
      <c r="Q11" s="3" t="s">
        <v>55</v>
      </c>
    </row>
    <row r="12" spans="1:17" s="5" customFormat="1" ht="10.050000000000001" customHeight="1" x14ac:dyDescent="0.2">
      <c r="A12" s="3">
        <v>76161229</v>
      </c>
      <c r="B12" s="3" t="s">
        <v>48</v>
      </c>
      <c r="C12" s="3" t="s">
        <v>31</v>
      </c>
      <c r="D12" s="3" t="s">
        <v>16</v>
      </c>
      <c r="E12" s="3" t="s">
        <v>17</v>
      </c>
      <c r="F12" s="3">
        <v>20602944710</v>
      </c>
      <c r="G12" s="3" t="s">
        <v>56</v>
      </c>
      <c r="H12" s="3">
        <v>20602944710</v>
      </c>
      <c r="I12" s="4">
        <v>45968</v>
      </c>
      <c r="J12" s="7">
        <f t="shared" si="0"/>
        <v>220.33898305084747</v>
      </c>
      <c r="K12" s="7">
        <f t="shared" si="1"/>
        <v>39.661016949152547</v>
      </c>
      <c r="L12" s="8">
        <v>260</v>
      </c>
      <c r="M12" s="3" t="s">
        <v>23</v>
      </c>
      <c r="N12" s="3" t="s">
        <v>24</v>
      </c>
      <c r="O12" s="3"/>
      <c r="P12" s="3" t="s">
        <v>57</v>
      </c>
      <c r="Q12" s="3" t="s">
        <v>58</v>
      </c>
    </row>
    <row r="13" spans="1:17" s="5" customFormat="1" ht="10.050000000000001" customHeight="1" x14ac:dyDescent="0.2">
      <c r="A13" s="3">
        <v>76158059</v>
      </c>
      <c r="B13" s="3" t="s">
        <v>15</v>
      </c>
      <c r="C13" s="3" t="s">
        <v>31</v>
      </c>
      <c r="D13" s="3" t="s">
        <v>16</v>
      </c>
      <c r="E13" s="3" t="s">
        <v>17</v>
      </c>
      <c r="F13" s="3">
        <v>10426606</v>
      </c>
      <c r="G13" s="3" t="s">
        <v>59</v>
      </c>
      <c r="H13" s="3">
        <v>10104266067</v>
      </c>
      <c r="I13" s="4">
        <v>45968</v>
      </c>
      <c r="J13" s="7">
        <f t="shared" si="0"/>
        <v>169.49152542372883</v>
      </c>
      <c r="K13" s="7">
        <f t="shared" si="1"/>
        <v>30.508474576271187</v>
      </c>
      <c r="L13" s="8">
        <v>200</v>
      </c>
      <c r="M13" s="3" t="s">
        <v>23</v>
      </c>
      <c r="N13" s="3" t="s">
        <v>60</v>
      </c>
      <c r="O13" s="3"/>
      <c r="P13" s="3" t="s">
        <v>61</v>
      </c>
      <c r="Q13" s="3" t="s">
        <v>62</v>
      </c>
    </row>
    <row r="14" spans="1:17" s="5" customFormat="1" ht="10.050000000000001" customHeight="1" x14ac:dyDescent="0.2">
      <c r="A14" s="3">
        <v>76158421</v>
      </c>
      <c r="B14" s="3" t="s">
        <v>27</v>
      </c>
      <c r="C14" s="3" t="s">
        <v>31</v>
      </c>
      <c r="D14" s="3" t="s">
        <v>16</v>
      </c>
      <c r="E14" s="3" t="s">
        <v>17</v>
      </c>
      <c r="F14" s="3">
        <v>75246071</v>
      </c>
      <c r="G14" s="3" t="s">
        <v>63</v>
      </c>
      <c r="H14" s="3">
        <v>10752460715</v>
      </c>
      <c r="I14" s="4">
        <v>45968</v>
      </c>
      <c r="J14" s="7">
        <f t="shared" si="0"/>
        <v>58.33898305084746</v>
      </c>
      <c r="K14" s="7">
        <f t="shared" si="1"/>
        <v>10.501016949152543</v>
      </c>
      <c r="L14" s="8">
        <v>68.84</v>
      </c>
      <c r="M14" s="3" t="s">
        <v>23</v>
      </c>
      <c r="N14" s="3" t="s">
        <v>24</v>
      </c>
      <c r="O14" s="3"/>
      <c r="P14" s="3"/>
      <c r="Q14" s="3" t="s">
        <v>64</v>
      </c>
    </row>
    <row r="15" spans="1:17" s="5" customFormat="1" ht="10.050000000000001" customHeight="1" x14ac:dyDescent="0.2">
      <c r="A15" s="3">
        <v>76162292</v>
      </c>
      <c r="B15" s="3" t="s">
        <v>27</v>
      </c>
      <c r="C15" s="3" t="s">
        <v>31</v>
      </c>
      <c r="D15" s="3" t="s">
        <v>16</v>
      </c>
      <c r="E15" s="3" t="s">
        <v>17</v>
      </c>
      <c r="F15" s="3">
        <v>20607574406</v>
      </c>
      <c r="G15" s="3" t="s">
        <v>65</v>
      </c>
      <c r="H15" s="3">
        <v>20607574406</v>
      </c>
      <c r="I15" s="4">
        <v>45968</v>
      </c>
      <c r="J15" s="7">
        <f t="shared" si="0"/>
        <v>56.016949152542374</v>
      </c>
      <c r="K15" s="7">
        <f t="shared" si="1"/>
        <v>10.083050847457628</v>
      </c>
      <c r="L15" s="8">
        <v>66.099999999999994</v>
      </c>
      <c r="M15" s="3" t="s">
        <v>23</v>
      </c>
      <c r="N15" s="3">
        <v>202508</v>
      </c>
      <c r="O15" s="3"/>
      <c r="P15" s="3"/>
      <c r="Q15" s="3" t="s">
        <v>66</v>
      </c>
    </row>
    <row r="16" spans="1:17" s="5" customFormat="1" ht="10.050000000000001" customHeight="1" x14ac:dyDescent="0.2">
      <c r="A16" s="3">
        <v>76158239</v>
      </c>
      <c r="B16" s="3" t="s">
        <v>27</v>
      </c>
      <c r="C16" s="3" t="s">
        <v>31</v>
      </c>
      <c r="D16" s="3" t="s">
        <v>16</v>
      </c>
      <c r="E16" s="3" t="s">
        <v>17</v>
      </c>
      <c r="F16" s="3">
        <v>41792895</v>
      </c>
      <c r="G16" s="3" t="s">
        <v>67</v>
      </c>
      <c r="H16" s="3">
        <v>10417928958</v>
      </c>
      <c r="I16" s="4">
        <v>45968</v>
      </c>
      <c r="J16" s="7">
        <f t="shared" si="0"/>
        <v>115.63559322033898</v>
      </c>
      <c r="K16" s="7">
        <f t="shared" si="1"/>
        <v>20.814406779661017</v>
      </c>
      <c r="L16" s="8">
        <v>136.44999999999999</v>
      </c>
      <c r="M16" s="3" t="s">
        <v>23</v>
      </c>
      <c r="N16" s="3" t="s">
        <v>53</v>
      </c>
      <c r="O16" s="3"/>
      <c r="P16" s="3"/>
      <c r="Q16" s="3" t="s">
        <v>68</v>
      </c>
    </row>
    <row r="17" spans="1:17" s="5" customFormat="1" ht="10.050000000000001" customHeight="1" x14ac:dyDescent="0.2">
      <c r="A17" s="3">
        <v>76160741</v>
      </c>
      <c r="B17" s="3" t="s">
        <v>48</v>
      </c>
      <c r="C17" s="3" t="s">
        <v>31</v>
      </c>
      <c r="D17" s="3" t="s">
        <v>16</v>
      </c>
      <c r="E17" s="3" t="s">
        <v>17</v>
      </c>
      <c r="F17" s="3">
        <v>20601439051</v>
      </c>
      <c r="G17" s="3" t="s">
        <v>69</v>
      </c>
      <c r="H17" s="3">
        <v>20601439051</v>
      </c>
      <c r="I17" s="4">
        <v>45968</v>
      </c>
      <c r="J17" s="7">
        <f t="shared" si="0"/>
        <v>56.016949152542374</v>
      </c>
      <c r="K17" s="7">
        <f t="shared" si="1"/>
        <v>10.083050847457628</v>
      </c>
      <c r="L17" s="8">
        <v>66.099999999999994</v>
      </c>
      <c r="M17" s="3" t="s">
        <v>23</v>
      </c>
      <c r="N17" s="3">
        <v>202508</v>
      </c>
      <c r="O17" s="3"/>
      <c r="P17" s="3" t="s">
        <v>70</v>
      </c>
      <c r="Q17" s="3" t="s">
        <v>71</v>
      </c>
    </row>
    <row r="18" spans="1:17" s="5" customFormat="1" ht="10.050000000000001" customHeight="1" x14ac:dyDescent="0.2">
      <c r="A18" s="3">
        <v>76166997</v>
      </c>
      <c r="B18" s="3" t="s">
        <v>72</v>
      </c>
      <c r="C18" s="3" t="s">
        <v>31</v>
      </c>
      <c r="D18" s="3" t="s">
        <v>32</v>
      </c>
      <c r="E18" s="3" t="s">
        <v>33</v>
      </c>
      <c r="F18" s="3">
        <v>20518141776</v>
      </c>
      <c r="G18" s="3" t="s">
        <v>73</v>
      </c>
      <c r="H18" s="3">
        <v>20518141776</v>
      </c>
      <c r="I18" s="4">
        <v>45967</v>
      </c>
      <c r="J18" s="7">
        <f t="shared" si="0"/>
        <v>903.88135593220341</v>
      </c>
      <c r="K18" s="7">
        <f t="shared" si="1"/>
        <v>162.69864406779661</v>
      </c>
      <c r="L18" s="8">
        <v>1066.58</v>
      </c>
      <c r="M18" s="3" t="s">
        <v>23</v>
      </c>
      <c r="N18" s="3" t="s">
        <v>74</v>
      </c>
      <c r="O18" s="3"/>
      <c r="P18" s="3" t="s">
        <v>75</v>
      </c>
      <c r="Q18" s="3" t="s">
        <v>76</v>
      </c>
    </row>
    <row r="19" spans="1:17" s="5" customFormat="1" ht="10.050000000000001" customHeight="1" x14ac:dyDescent="0.2">
      <c r="A19" s="3">
        <v>76161090</v>
      </c>
      <c r="B19" s="3" t="s">
        <v>15</v>
      </c>
      <c r="C19" s="3" t="s">
        <v>31</v>
      </c>
      <c r="D19" s="3" t="s">
        <v>16</v>
      </c>
      <c r="E19" s="3" t="s">
        <v>17</v>
      </c>
      <c r="F19" s="3">
        <v>20602493831</v>
      </c>
      <c r="G19" s="3" t="s">
        <v>77</v>
      </c>
      <c r="H19" s="3">
        <v>20602493831</v>
      </c>
      <c r="I19" s="4">
        <v>45968</v>
      </c>
      <c r="J19" s="7">
        <f t="shared" si="0"/>
        <v>101.69491525423729</v>
      </c>
      <c r="K19" s="7">
        <f t="shared" si="1"/>
        <v>18.305084745762709</v>
      </c>
      <c r="L19" s="8">
        <v>120</v>
      </c>
      <c r="M19" s="3" t="s">
        <v>23</v>
      </c>
      <c r="N19" s="3">
        <v>202508</v>
      </c>
      <c r="O19" s="3"/>
      <c r="P19" s="3" t="s">
        <v>78</v>
      </c>
      <c r="Q19" s="3" t="s">
        <v>79</v>
      </c>
    </row>
    <row r="20" spans="1:17" s="5" customFormat="1" ht="10.050000000000001" customHeight="1" x14ac:dyDescent="0.2">
      <c r="A20" s="3">
        <v>76160473</v>
      </c>
      <c r="B20" s="3" t="s">
        <v>15</v>
      </c>
      <c r="C20" s="3" t="s">
        <v>31</v>
      </c>
      <c r="D20" s="3" t="s">
        <v>16</v>
      </c>
      <c r="E20" s="3" t="s">
        <v>17</v>
      </c>
      <c r="F20" s="3">
        <v>20600528671</v>
      </c>
      <c r="G20" s="3" t="s">
        <v>80</v>
      </c>
      <c r="H20" s="3">
        <v>20600528671</v>
      </c>
      <c r="I20" s="4">
        <v>45968</v>
      </c>
      <c r="J20" s="7">
        <f t="shared" si="0"/>
        <v>83.177966101694921</v>
      </c>
      <c r="K20" s="7">
        <f t="shared" si="1"/>
        <v>14.972033898305085</v>
      </c>
      <c r="L20" s="8">
        <v>98.15</v>
      </c>
      <c r="M20" s="3" t="s">
        <v>23</v>
      </c>
      <c r="N20" s="3" t="s">
        <v>24</v>
      </c>
      <c r="O20" s="3"/>
      <c r="P20" s="3" t="s">
        <v>81</v>
      </c>
      <c r="Q20" s="3" t="s">
        <v>82</v>
      </c>
    </row>
    <row r="21" spans="1:17" s="5" customFormat="1" ht="10.050000000000001" customHeight="1" x14ac:dyDescent="0.2">
      <c r="A21" s="3">
        <v>76158364</v>
      </c>
      <c r="B21" s="3" t="s">
        <v>27</v>
      </c>
      <c r="C21" s="3" t="s">
        <v>31</v>
      </c>
      <c r="D21" s="3" t="s">
        <v>16</v>
      </c>
      <c r="E21" s="3" t="s">
        <v>17</v>
      </c>
      <c r="F21" s="3">
        <v>47019865</v>
      </c>
      <c r="G21" s="3" t="s">
        <v>83</v>
      </c>
      <c r="H21" s="3">
        <v>10470198651</v>
      </c>
      <c r="I21" s="4">
        <v>45970</v>
      </c>
      <c r="J21" s="7">
        <f t="shared" si="0"/>
        <v>97.898305084745758</v>
      </c>
      <c r="K21" s="7">
        <f t="shared" si="1"/>
        <v>17.621694915254235</v>
      </c>
      <c r="L21" s="8">
        <v>115.52</v>
      </c>
      <c r="M21" s="3" t="s">
        <v>23</v>
      </c>
      <c r="N21" s="3" t="s">
        <v>84</v>
      </c>
      <c r="O21" s="3"/>
      <c r="P21" s="3"/>
      <c r="Q21" s="3" t="s">
        <v>85</v>
      </c>
    </row>
    <row r="22" spans="1:17" s="5" customFormat="1" ht="10.050000000000001" customHeight="1" x14ac:dyDescent="0.2">
      <c r="A22" s="3">
        <v>76308540</v>
      </c>
      <c r="B22" s="3" t="s">
        <v>86</v>
      </c>
      <c r="C22" s="3" t="s">
        <v>87</v>
      </c>
      <c r="D22" s="3" t="s">
        <v>88</v>
      </c>
      <c r="E22" s="3" t="s">
        <v>89</v>
      </c>
      <c r="F22" s="3">
        <v>20601745438</v>
      </c>
      <c r="G22" s="3" t="s">
        <v>90</v>
      </c>
      <c r="H22" s="3">
        <v>20601745438</v>
      </c>
      <c r="I22" s="4">
        <v>45975</v>
      </c>
      <c r="J22" s="7">
        <f t="shared" si="0"/>
        <v>42.372881355932208</v>
      </c>
      <c r="K22" s="7">
        <f t="shared" si="1"/>
        <v>7.6271186440677967</v>
      </c>
      <c r="L22" s="8">
        <v>50</v>
      </c>
      <c r="M22" s="3" t="s">
        <v>23</v>
      </c>
      <c r="N22" s="3">
        <v>202509</v>
      </c>
      <c r="O22" s="3"/>
      <c r="P22" s="3"/>
      <c r="Q22" s="3" t="s">
        <v>91</v>
      </c>
    </row>
    <row r="23" spans="1:17" s="5" customFormat="1" ht="10.050000000000001" customHeight="1" x14ac:dyDescent="0.2">
      <c r="A23" s="3">
        <v>76281563</v>
      </c>
      <c r="B23" s="3" t="s">
        <v>15</v>
      </c>
      <c r="C23" s="3" t="s">
        <v>87</v>
      </c>
      <c r="D23" s="3" t="s">
        <v>16</v>
      </c>
      <c r="E23" s="3" t="s">
        <v>17</v>
      </c>
      <c r="F23" s="3">
        <v>490884</v>
      </c>
      <c r="G23" s="3" t="s">
        <v>92</v>
      </c>
      <c r="H23" s="3">
        <v>10004908843</v>
      </c>
      <c r="I23" s="4">
        <v>45972</v>
      </c>
      <c r="J23" s="7">
        <f t="shared" si="0"/>
        <v>42.372881355932208</v>
      </c>
      <c r="K23" s="7">
        <f t="shared" si="1"/>
        <v>7.6271186440677967</v>
      </c>
      <c r="L23" s="8">
        <v>50</v>
      </c>
      <c r="M23" s="3" t="s">
        <v>23</v>
      </c>
      <c r="N23" s="3">
        <v>202509</v>
      </c>
      <c r="O23" s="3"/>
      <c r="P23" s="3" t="s">
        <v>92</v>
      </c>
      <c r="Q23" s="3" t="s">
        <v>93</v>
      </c>
    </row>
    <row r="24" spans="1:17" s="5" customFormat="1" ht="10.050000000000001" customHeight="1" x14ac:dyDescent="0.2">
      <c r="A24" s="3">
        <v>76293962</v>
      </c>
      <c r="B24" s="3" t="s">
        <v>72</v>
      </c>
      <c r="C24" s="3" t="s">
        <v>87</v>
      </c>
      <c r="D24" s="3" t="s">
        <v>32</v>
      </c>
      <c r="E24" s="3" t="s">
        <v>33</v>
      </c>
      <c r="F24" s="3">
        <v>20514740152</v>
      </c>
      <c r="G24" s="3" t="s">
        <v>94</v>
      </c>
      <c r="H24" s="3">
        <v>20514740152</v>
      </c>
      <c r="I24" s="4">
        <v>45972</v>
      </c>
      <c r="J24" s="7">
        <f t="shared" si="0"/>
        <v>1420.8559322033898</v>
      </c>
      <c r="K24" s="7">
        <f t="shared" si="1"/>
        <v>255.75406779661014</v>
      </c>
      <c r="L24" s="8">
        <v>1676.61</v>
      </c>
      <c r="M24" s="3" t="s">
        <v>19</v>
      </c>
      <c r="N24" s="3" t="s">
        <v>95</v>
      </c>
      <c r="O24" s="3" t="s">
        <v>96</v>
      </c>
      <c r="P24" s="3"/>
      <c r="Q24" s="3" t="s">
        <v>97</v>
      </c>
    </row>
    <row r="25" spans="1:17" s="5" customFormat="1" ht="10.050000000000001" customHeight="1" x14ac:dyDescent="0.2">
      <c r="A25" s="3">
        <v>76282059</v>
      </c>
      <c r="B25" s="3" t="s">
        <v>27</v>
      </c>
      <c r="C25" s="3" t="s">
        <v>87</v>
      </c>
      <c r="D25" s="3" t="s">
        <v>16</v>
      </c>
      <c r="E25" s="3" t="s">
        <v>17</v>
      </c>
      <c r="F25" s="3">
        <v>15603354831</v>
      </c>
      <c r="G25" s="3" t="s">
        <v>98</v>
      </c>
      <c r="H25" s="3">
        <v>15603354831</v>
      </c>
      <c r="I25" s="4">
        <v>45972</v>
      </c>
      <c r="J25" s="7">
        <f t="shared" si="0"/>
        <v>58.432203389830512</v>
      </c>
      <c r="K25" s="7">
        <f t="shared" si="1"/>
        <v>10.517796610169492</v>
      </c>
      <c r="L25" s="8">
        <v>68.95</v>
      </c>
      <c r="M25" s="3" t="s">
        <v>23</v>
      </c>
      <c r="N25" s="3" t="s">
        <v>99</v>
      </c>
      <c r="O25" s="3"/>
      <c r="P25" s="3"/>
      <c r="Q25" s="3" t="s">
        <v>100</v>
      </c>
    </row>
    <row r="26" spans="1:17" s="5" customFormat="1" ht="10.050000000000001" customHeight="1" x14ac:dyDescent="0.2">
      <c r="A26" s="3">
        <v>76291464</v>
      </c>
      <c r="B26" s="3" t="s">
        <v>72</v>
      </c>
      <c r="C26" s="3" t="s">
        <v>87</v>
      </c>
      <c r="D26" s="3" t="s">
        <v>32</v>
      </c>
      <c r="E26" s="3" t="s">
        <v>33</v>
      </c>
      <c r="F26" s="3">
        <v>20107945874</v>
      </c>
      <c r="G26" s="3" t="s">
        <v>101</v>
      </c>
      <c r="H26" s="3">
        <v>20107945874</v>
      </c>
      <c r="I26" s="4">
        <v>45972</v>
      </c>
      <c r="J26" s="7">
        <f t="shared" si="0"/>
        <v>147.09322033898306</v>
      </c>
      <c r="K26" s="7">
        <f t="shared" si="1"/>
        <v>26.476779661016948</v>
      </c>
      <c r="L26" s="8">
        <v>173.57</v>
      </c>
      <c r="M26" s="3" t="s">
        <v>23</v>
      </c>
      <c r="N26" s="3">
        <v>200407</v>
      </c>
      <c r="O26" s="3"/>
      <c r="P26" s="3"/>
      <c r="Q26" s="3" t="s">
        <v>102</v>
      </c>
    </row>
    <row r="27" spans="1:17" s="5" customFormat="1" ht="10.050000000000001" customHeight="1" x14ac:dyDescent="0.2">
      <c r="A27" s="3">
        <v>76285207</v>
      </c>
      <c r="B27" s="3" t="s">
        <v>15</v>
      </c>
      <c r="C27" s="3" t="s">
        <v>87</v>
      </c>
      <c r="D27" s="3" t="s">
        <v>16</v>
      </c>
      <c r="E27" s="3" t="s">
        <v>17</v>
      </c>
      <c r="F27" s="3">
        <v>20605481656</v>
      </c>
      <c r="G27" s="3" t="s">
        <v>103</v>
      </c>
      <c r="H27" s="3">
        <v>20605481656</v>
      </c>
      <c r="I27" s="4">
        <v>45972</v>
      </c>
      <c r="J27" s="7">
        <f t="shared" si="0"/>
        <v>99.152542372881356</v>
      </c>
      <c r="K27" s="7">
        <f t="shared" si="1"/>
        <v>17.847457627118644</v>
      </c>
      <c r="L27" s="8">
        <v>117</v>
      </c>
      <c r="M27" s="3" t="s">
        <v>23</v>
      </c>
      <c r="N27" s="3">
        <v>202509</v>
      </c>
      <c r="O27" s="3"/>
      <c r="P27" s="3"/>
      <c r="Q27" s="3" t="s">
        <v>104</v>
      </c>
    </row>
    <row r="28" spans="1:17" s="5" customFormat="1" ht="10.050000000000001" customHeight="1" x14ac:dyDescent="0.2">
      <c r="A28" s="3">
        <v>76286327</v>
      </c>
      <c r="B28" s="3" t="s">
        <v>38</v>
      </c>
      <c r="C28" s="3" t="s">
        <v>87</v>
      </c>
      <c r="D28" s="3" t="s">
        <v>16</v>
      </c>
      <c r="E28" s="3" t="s">
        <v>17</v>
      </c>
      <c r="F28" s="3">
        <v>20610521739</v>
      </c>
      <c r="G28" s="3" t="s">
        <v>105</v>
      </c>
      <c r="H28" s="3">
        <v>20610521739</v>
      </c>
      <c r="I28" s="4">
        <v>45972</v>
      </c>
      <c r="J28" s="7">
        <f t="shared" si="0"/>
        <v>56.016949152542374</v>
      </c>
      <c r="K28" s="7">
        <f t="shared" si="1"/>
        <v>10.083050847457628</v>
      </c>
      <c r="L28" s="8">
        <v>66.099999999999994</v>
      </c>
      <c r="M28" s="3" t="s">
        <v>23</v>
      </c>
      <c r="N28" s="3">
        <v>202509</v>
      </c>
      <c r="O28" s="3"/>
      <c r="P28" s="3"/>
      <c r="Q28" s="3" t="s">
        <v>106</v>
      </c>
    </row>
    <row r="29" spans="1:17" s="5" customFormat="1" ht="10.050000000000001" customHeight="1" x14ac:dyDescent="0.2">
      <c r="A29" s="3">
        <v>76281778</v>
      </c>
      <c r="B29" s="3" t="s">
        <v>38</v>
      </c>
      <c r="C29" s="3" t="s">
        <v>87</v>
      </c>
      <c r="D29" s="3" t="s">
        <v>16</v>
      </c>
      <c r="E29" s="3" t="s">
        <v>17</v>
      </c>
      <c r="F29" s="3">
        <v>32108795</v>
      </c>
      <c r="G29" s="3" t="s">
        <v>107</v>
      </c>
      <c r="H29" s="3">
        <v>10321087952</v>
      </c>
      <c r="I29" s="4">
        <v>45972</v>
      </c>
      <c r="J29" s="7">
        <f t="shared" si="0"/>
        <v>56.016949152542374</v>
      </c>
      <c r="K29" s="7">
        <f t="shared" si="1"/>
        <v>10.083050847457628</v>
      </c>
      <c r="L29" s="8">
        <v>66.099999999999994</v>
      </c>
      <c r="M29" s="3" t="s">
        <v>23</v>
      </c>
      <c r="N29" s="3" t="s">
        <v>108</v>
      </c>
      <c r="O29" s="3"/>
      <c r="P29" s="3" t="s">
        <v>109</v>
      </c>
      <c r="Q29" s="3" t="s">
        <v>110</v>
      </c>
    </row>
    <row r="30" spans="1:17" s="5" customFormat="1" ht="10.050000000000001" customHeight="1" x14ac:dyDescent="0.2">
      <c r="A30" s="3">
        <v>76284732</v>
      </c>
      <c r="B30" s="3" t="s">
        <v>27</v>
      </c>
      <c r="C30" s="3" t="s">
        <v>87</v>
      </c>
      <c r="D30" s="3" t="s">
        <v>16</v>
      </c>
      <c r="E30" s="3" t="s">
        <v>17</v>
      </c>
      <c r="F30" s="3">
        <v>20603257121</v>
      </c>
      <c r="G30" s="3" t="s">
        <v>111</v>
      </c>
      <c r="H30" s="3">
        <v>20603257121</v>
      </c>
      <c r="I30" s="4">
        <v>45973</v>
      </c>
      <c r="J30" s="7">
        <f t="shared" si="0"/>
        <v>64.737288135593218</v>
      </c>
      <c r="K30" s="7">
        <f t="shared" si="1"/>
        <v>11.652711864406779</v>
      </c>
      <c r="L30" s="8">
        <v>76.39</v>
      </c>
      <c r="M30" s="3" t="s">
        <v>23</v>
      </c>
      <c r="N30" s="3">
        <v>202509</v>
      </c>
      <c r="O30" s="3"/>
      <c r="P30" s="3"/>
      <c r="Q30" s="3" t="s">
        <v>112</v>
      </c>
    </row>
    <row r="31" spans="1:17" s="5" customFormat="1" ht="10.050000000000001" customHeight="1" x14ac:dyDescent="0.2">
      <c r="A31" s="3">
        <v>76286708</v>
      </c>
      <c r="B31" s="3" t="s">
        <v>15</v>
      </c>
      <c r="C31" s="3" t="s">
        <v>87</v>
      </c>
      <c r="D31" s="3" t="s">
        <v>16</v>
      </c>
      <c r="E31" s="3" t="s">
        <v>17</v>
      </c>
      <c r="F31" s="3">
        <v>20612189189</v>
      </c>
      <c r="G31" s="3" t="s">
        <v>113</v>
      </c>
      <c r="H31" s="3">
        <v>20612189189</v>
      </c>
      <c r="I31" s="4">
        <v>45973</v>
      </c>
      <c r="J31" s="7">
        <f t="shared" si="0"/>
        <v>111.01694915254238</v>
      </c>
      <c r="K31" s="7">
        <f t="shared" si="1"/>
        <v>19.983050847457626</v>
      </c>
      <c r="L31" s="8">
        <v>131</v>
      </c>
      <c r="M31" s="3" t="s">
        <v>23</v>
      </c>
      <c r="N31" s="3">
        <v>202509</v>
      </c>
      <c r="O31" s="3"/>
      <c r="P31" s="3" t="s">
        <v>114</v>
      </c>
      <c r="Q31" s="3" t="s">
        <v>115</v>
      </c>
    </row>
    <row r="32" spans="1:17" s="5" customFormat="1" ht="10.050000000000001" customHeight="1" x14ac:dyDescent="0.2">
      <c r="A32" s="3">
        <v>76284254</v>
      </c>
      <c r="B32" s="3" t="s">
        <v>15</v>
      </c>
      <c r="C32" s="3" t="s">
        <v>87</v>
      </c>
      <c r="D32" s="3" t="s">
        <v>16</v>
      </c>
      <c r="E32" s="3" t="s">
        <v>17</v>
      </c>
      <c r="F32" s="3">
        <v>20601638496</v>
      </c>
      <c r="G32" s="3" t="s">
        <v>116</v>
      </c>
      <c r="H32" s="3">
        <v>20601638496</v>
      </c>
      <c r="I32" s="4">
        <v>45973</v>
      </c>
      <c r="J32" s="7">
        <f t="shared" si="0"/>
        <v>56.016949152542374</v>
      </c>
      <c r="K32" s="7">
        <f t="shared" si="1"/>
        <v>10.083050847457628</v>
      </c>
      <c r="L32" s="8">
        <v>66.099999999999994</v>
      </c>
      <c r="M32" s="3" t="s">
        <v>23</v>
      </c>
      <c r="N32" s="3">
        <v>202509</v>
      </c>
      <c r="O32" s="3"/>
      <c r="P32" s="3" t="s">
        <v>117</v>
      </c>
      <c r="Q32" s="3" t="s">
        <v>118</v>
      </c>
    </row>
    <row r="33" spans="1:17" s="5" customFormat="1" ht="10.050000000000001" customHeight="1" x14ac:dyDescent="0.2">
      <c r="A33" s="3">
        <v>76284261</v>
      </c>
      <c r="B33" s="3" t="s">
        <v>15</v>
      </c>
      <c r="C33" s="3" t="s">
        <v>87</v>
      </c>
      <c r="D33" s="3" t="s">
        <v>16</v>
      </c>
      <c r="E33" s="3" t="s">
        <v>17</v>
      </c>
      <c r="F33" s="3">
        <v>20601652600</v>
      </c>
      <c r="G33" s="3" t="s">
        <v>119</v>
      </c>
      <c r="H33" s="3">
        <v>20601652600</v>
      </c>
      <c r="I33" s="4">
        <v>45972</v>
      </c>
      <c r="J33" s="7">
        <f t="shared" si="0"/>
        <v>87.372881355932208</v>
      </c>
      <c r="K33" s="7">
        <f t="shared" si="1"/>
        <v>15.727118644067797</v>
      </c>
      <c r="L33" s="8">
        <v>103.1</v>
      </c>
      <c r="M33" s="3" t="s">
        <v>23</v>
      </c>
      <c r="N33" s="3">
        <v>202509</v>
      </c>
      <c r="O33" s="3"/>
      <c r="P33" s="3" t="s">
        <v>120</v>
      </c>
      <c r="Q33" s="3" t="s">
        <v>121</v>
      </c>
    </row>
    <row r="34" spans="1:17" s="5" customFormat="1" ht="10.050000000000001" customHeight="1" x14ac:dyDescent="0.2">
      <c r="A34" s="3">
        <v>76285325</v>
      </c>
      <c r="B34" s="3" t="s">
        <v>27</v>
      </c>
      <c r="C34" s="3" t="s">
        <v>87</v>
      </c>
      <c r="D34" s="3" t="s">
        <v>16</v>
      </c>
      <c r="E34" s="3" t="s">
        <v>17</v>
      </c>
      <c r="F34" s="3">
        <v>20606009021</v>
      </c>
      <c r="G34" s="3" t="s">
        <v>122</v>
      </c>
      <c r="H34" s="3">
        <v>20606009021</v>
      </c>
      <c r="I34" s="4">
        <v>45973</v>
      </c>
      <c r="J34" s="7">
        <f t="shared" si="0"/>
        <v>77.305084745762713</v>
      </c>
      <c r="K34" s="7">
        <f t="shared" si="1"/>
        <v>13.914915254237288</v>
      </c>
      <c r="L34" s="8">
        <v>91.22</v>
      </c>
      <c r="M34" s="3" t="s">
        <v>23</v>
      </c>
      <c r="N34" s="3" t="s">
        <v>108</v>
      </c>
      <c r="O34" s="3"/>
      <c r="P34" s="3"/>
      <c r="Q34" s="3" t="s">
        <v>123</v>
      </c>
    </row>
    <row r="35" spans="1:17" s="5" customFormat="1" ht="10.050000000000001" customHeight="1" x14ac:dyDescent="0.2">
      <c r="A35" s="3">
        <v>76285237</v>
      </c>
      <c r="B35" s="3" t="s">
        <v>27</v>
      </c>
      <c r="C35" s="3" t="s">
        <v>87</v>
      </c>
      <c r="D35" s="3" t="s">
        <v>16</v>
      </c>
      <c r="E35" s="3" t="s">
        <v>17</v>
      </c>
      <c r="F35" s="3">
        <v>20605625585</v>
      </c>
      <c r="G35" s="3" t="s">
        <v>124</v>
      </c>
      <c r="H35" s="3">
        <v>20605625585</v>
      </c>
      <c r="I35" s="4">
        <v>45973</v>
      </c>
      <c r="J35" s="7">
        <f t="shared" si="0"/>
        <v>56.016949152542374</v>
      </c>
      <c r="K35" s="7">
        <f t="shared" si="1"/>
        <v>10.083050847457628</v>
      </c>
      <c r="L35" s="8">
        <v>66.099999999999994</v>
      </c>
      <c r="M35" s="3" t="s">
        <v>23</v>
      </c>
      <c r="N35" s="3">
        <v>202509</v>
      </c>
      <c r="O35" s="3"/>
      <c r="P35" s="3"/>
      <c r="Q35" s="3" t="s">
        <v>125</v>
      </c>
    </row>
    <row r="36" spans="1:17" s="5" customFormat="1" ht="10.050000000000001" customHeight="1" x14ac:dyDescent="0.2">
      <c r="A36" s="3">
        <v>76284081</v>
      </c>
      <c r="B36" s="3" t="s">
        <v>27</v>
      </c>
      <c r="C36" s="3" t="s">
        <v>87</v>
      </c>
      <c r="D36" s="3" t="s">
        <v>16</v>
      </c>
      <c r="E36" s="3" t="s">
        <v>17</v>
      </c>
      <c r="F36" s="3">
        <v>20601096430</v>
      </c>
      <c r="G36" s="3" t="s">
        <v>126</v>
      </c>
      <c r="H36" s="3">
        <v>20601096430</v>
      </c>
      <c r="I36" s="4">
        <v>45973</v>
      </c>
      <c r="J36" s="7">
        <f t="shared" si="0"/>
        <v>68.059322033898312</v>
      </c>
      <c r="K36" s="7">
        <f t="shared" si="1"/>
        <v>12.250677966101696</v>
      </c>
      <c r="L36" s="8">
        <v>80.31</v>
      </c>
      <c r="M36" s="3" t="s">
        <v>23</v>
      </c>
      <c r="N36" s="3">
        <v>202509</v>
      </c>
      <c r="O36" s="3"/>
      <c r="P36" s="3"/>
      <c r="Q36" s="3" t="s">
        <v>127</v>
      </c>
    </row>
    <row r="37" spans="1:17" s="5" customFormat="1" ht="10.050000000000001" customHeight="1" x14ac:dyDescent="0.2">
      <c r="A37" s="3">
        <v>76285894</v>
      </c>
      <c r="B37" s="3" t="s">
        <v>15</v>
      </c>
      <c r="C37" s="3" t="s">
        <v>87</v>
      </c>
      <c r="D37" s="3" t="s">
        <v>16</v>
      </c>
      <c r="E37" s="3" t="s">
        <v>17</v>
      </c>
      <c r="F37" s="3">
        <v>20608666851</v>
      </c>
      <c r="G37" s="3" t="s">
        <v>128</v>
      </c>
      <c r="H37" s="3">
        <v>20608666851</v>
      </c>
      <c r="I37" s="4">
        <v>45973</v>
      </c>
      <c r="J37" s="7">
        <f t="shared" si="0"/>
        <v>56.016949152542374</v>
      </c>
      <c r="K37" s="7">
        <f t="shared" si="1"/>
        <v>10.083050847457628</v>
      </c>
      <c r="L37" s="8">
        <v>66.099999999999994</v>
      </c>
      <c r="M37" s="3" t="s">
        <v>23</v>
      </c>
      <c r="N37" s="3" t="s">
        <v>108</v>
      </c>
      <c r="O37" s="3"/>
      <c r="P37" s="3" t="s">
        <v>129</v>
      </c>
      <c r="Q37" s="3" t="s">
        <v>130</v>
      </c>
    </row>
    <row r="38" spans="1:17" s="5" customFormat="1" ht="10.050000000000001" customHeight="1" x14ac:dyDescent="0.2">
      <c r="A38" s="3">
        <v>76283952</v>
      </c>
      <c r="B38" s="3" t="s">
        <v>15</v>
      </c>
      <c r="C38" s="3" t="s">
        <v>87</v>
      </c>
      <c r="D38" s="3" t="s">
        <v>16</v>
      </c>
      <c r="E38" s="3" t="s">
        <v>17</v>
      </c>
      <c r="F38" s="3">
        <v>20600630033</v>
      </c>
      <c r="G38" s="3" t="s">
        <v>131</v>
      </c>
      <c r="H38" s="3">
        <v>20600630033</v>
      </c>
      <c r="I38" s="4">
        <v>45973</v>
      </c>
      <c r="J38" s="7">
        <f t="shared" si="0"/>
        <v>77.966101694915253</v>
      </c>
      <c r="K38" s="7">
        <f t="shared" si="1"/>
        <v>14.033898305084746</v>
      </c>
      <c r="L38" s="8">
        <v>92</v>
      </c>
      <c r="M38" s="3" t="s">
        <v>23</v>
      </c>
      <c r="N38" s="3">
        <v>202509</v>
      </c>
      <c r="O38" s="3"/>
      <c r="P38" s="3" t="s">
        <v>132</v>
      </c>
      <c r="Q38" s="3" t="s">
        <v>133</v>
      </c>
    </row>
    <row r="39" spans="1:17" s="5" customFormat="1" ht="10.050000000000001" customHeight="1" x14ac:dyDescent="0.2">
      <c r="A39" s="3">
        <v>76281623</v>
      </c>
      <c r="B39" s="3" t="s">
        <v>27</v>
      </c>
      <c r="C39" s="3" t="s">
        <v>87</v>
      </c>
      <c r="D39" s="3" t="s">
        <v>16</v>
      </c>
      <c r="E39" s="3" t="s">
        <v>17</v>
      </c>
      <c r="F39" s="3">
        <v>8133877</v>
      </c>
      <c r="G39" s="3" t="s">
        <v>134</v>
      </c>
      <c r="H39" s="3">
        <v>10081338774</v>
      </c>
      <c r="I39" s="4">
        <v>45973</v>
      </c>
      <c r="J39" s="7">
        <f t="shared" si="0"/>
        <v>56.016949152542374</v>
      </c>
      <c r="K39" s="7">
        <f t="shared" si="1"/>
        <v>10.083050847457628</v>
      </c>
      <c r="L39" s="8">
        <v>66.099999999999994</v>
      </c>
      <c r="M39" s="3" t="s">
        <v>23</v>
      </c>
      <c r="N39" s="3">
        <v>202508</v>
      </c>
      <c r="O39" s="3"/>
      <c r="P39" s="3"/>
      <c r="Q39" s="3" t="s">
        <v>135</v>
      </c>
    </row>
    <row r="40" spans="1:17" s="5" customFormat="1" ht="10.050000000000001" customHeight="1" x14ac:dyDescent="0.2">
      <c r="A40" s="3">
        <v>76283277</v>
      </c>
      <c r="B40" s="3" t="s">
        <v>15</v>
      </c>
      <c r="C40" s="3" t="s">
        <v>87</v>
      </c>
      <c r="D40" s="3" t="s">
        <v>16</v>
      </c>
      <c r="E40" s="3" t="s">
        <v>17</v>
      </c>
      <c r="F40" s="3">
        <v>20544296222</v>
      </c>
      <c r="G40" s="3" t="s">
        <v>136</v>
      </c>
      <c r="H40" s="3">
        <v>20544296222</v>
      </c>
      <c r="I40" s="4">
        <v>45973</v>
      </c>
      <c r="J40" s="7">
        <f t="shared" si="0"/>
        <v>77.966101694915253</v>
      </c>
      <c r="K40" s="7">
        <f t="shared" si="1"/>
        <v>14.033898305084746</v>
      </c>
      <c r="L40" s="8">
        <v>92</v>
      </c>
      <c r="M40" s="3" t="s">
        <v>23</v>
      </c>
      <c r="N40" s="3">
        <v>202509</v>
      </c>
      <c r="O40" s="3"/>
      <c r="P40" s="3" t="s">
        <v>137</v>
      </c>
      <c r="Q40" s="3" t="s">
        <v>138</v>
      </c>
    </row>
    <row r="41" spans="1:17" s="5" customFormat="1" ht="10.050000000000001" customHeight="1" x14ac:dyDescent="0.2">
      <c r="A41" s="3">
        <v>76286183</v>
      </c>
      <c r="B41" s="3" t="s">
        <v>27</v>
      </c>
      <c r="C41" s="3" t="s">
        <v>87</v>
      </c>
      <c r="D41" s="3" t="s">
        <v>16</v>
      </c>
      <c r="E41" s="3" t="s">
        <v>17</v>
      </c>
      <c r="F41" s="3">
        <v>20609904110</v>
      </c>
      <c r="G41" s="3" t="s">
        <v>139</v>
      </c>
      <c r="H41" s="3">
        <v>20609904110</v>
      </c>
      <c r="I41" s="4">
        <v>45973</v>
      </c>
      <c r="J41" s="7">
        <f t="shared" si="0"/>
        <v>56.016949152542374</v>
      </c>
      <c r="K41" s="7">
        <f t="shared" si="1"/>
        <v>10.083050847457628</v>
      </c>
      <c r="L41" s="8">
        <v>66.099999999999994</v>
      </c>
      <c r="M41" s="3" t="s">
        <v>23</v>
      </c>
      <c r="N41" s="3">
        <v>202509</v>
      </c>
      <c r="O41" s="3"/>
      <c r="P41" s="3"/>
      <c r="Q41" s="3" t="s">
        <v>140</v>
      </c>
    </row>
    <row r="42" spans="1:17" s="5" customFormat="1" ht="10.050000000000001" customHeight="1" x14ac:dyDescent="0.2">
      <c r="A42" s="3">
        <v>76284798</v>
      </c>
      <c r="B42" s="3" t="s">
        <v>15</v>
      </c>
      <c r="C42" s="3" t="s">
        <v>87</v>
      </c>
      <c r="D42" s="3" t="s">
        <v>16</v>
      </c>
      <c r="E42" s="3" t="s">
        <v>17</v>
      </c>
      <c r="F42" s="3">
        <v>20603513925</v>
      </c>
      <c r="G42" s="3" t="s">
        <v>141</v>
      </c>
      <c r="H42" s="3">
        <v>20603513925</v>
      </c>
      <c r="I42" s="4">
        <v>45974</v>
      </c>
      <c r="J42" s="7">
        <f t="shared" si="0"/>
        <v>69.144067796610173</v>
      </c>
      <c r="K42" s="7">
        <f t="shared" si="1"/>
        <v>12.44593220338983</v>
      </c>
      <c r="L42" s="8">
        <v>81.59</v>
      </c>
      <c r="M42" s="3" t="s">
        <v>23</v>
      </c>
      <c r="N42" s="3">
        <v>202509</v>
      </c>
      <c r="O42" s="3"/>
      <c r="P42" s="3" t="s">
        <v>142</v>
      </c>
      <c r="Q42" s="3" t="s">
        <v>143</v>
      </c>
    </row>
    <row r="43" spans="1:17" s="5" customFormat="1" ht="10.050000000000001" customHeight="1" x14ac:dyDescent="0.2">
      <c r="A43" s="3">
        <v>76283168</v>
      </c>
      <c r="B43" s="3" t="s">
        <v>27</v>
      </c>
      <c r="C43" s="3" t="s">
        <v>87</v>
      </c>
      <c r="D43" s="3" t="s">
        <v>16</v>
      </c>
      <c r="E43" s="3" t="s">
        <v>17</v>
      </c>
      <c r="F43" s="3">
        <v>20537295334</v>
      </c>
      <c r="G43" s="3" t="s">
        <v>144</v>
      </c>
      <c r="H43" s="3">
        <v>20537295334</v>
      </c>
      <c r="I43" s="4">
        <v>45973</v>
      </c>
      <c r="J43" s="7">
        <f t="shared" si="0"/>
        <v>56.016949152542374</v>
      </c>
      <c r="K43" s="7">
        <f t="shared" si="1"/>
        <v>10.083050847457628</v>
      </c>
      <c r="L43" s="8">
        <v>66.099999999999994</v>
      </c>
      <c r="M43" s="3" t="s">
        <v>23</v>
      </c>
      <c r="N43" s="3">
        <v>202509</v>
      </c>
      <c r="O43" s="3"/>
      <c r="P43" s="3"/>
      <c r="Q43" s="3" t="s">
        <v>145</v>
      </c>
    </row>
    <row r="44" spans="1:17" s="5" customFormat="1" ht="10.050000000000001" customHeight="1" x14ac:dyDescent="0.2">
      <c r="A44" s="3">
        <v>76286249</v>
      </c>
      <c r="B44" s="3" t="s">
        <v>15</v>
      </c>
      <c r="C44" s="3" t="s">
        <v>87</v>
      </c>
      <c r="D44" s="3" t="s">
        <v>16</v>
      </c>
      <c r="E44" s="3" t="s">
        <v>17</v>
      </c>
      <c r="F44" s="3">
        <v>20610157450</v>
      </c>
      <c r="G44" s="3" t="s">
        <v>146</v>
      </c>
      <c r="H44" s="3">
        <v>20610157450</v>
      </c>
      <c r="I44" s="4">
        <v>45973</v>
      </c>
      <c r="J44" s="7">
        <f t="shared" si="0"/>
        <v>190.67796610169492</v>
      </c>
      <c r="K44" s="7">
        <f t="shared" si="1"/>
        <v>34.322033898305087</v>
      </c>
      <c r="L44" s="8">
        <v>225</v>
      </c>
      <c r="M44" s="3" t="s">
        <v>19</v>
      </c>
      <c r="N44" s="3">
        <v>202508</v>
      </c>
      <c r="O44" s="3">
        <v>202509</v>
      </c>
      <c r="P44" s="3" t="s">
        <v>147</v>
      </c>
      <c r="Q44" s="3" t="s">
        <v>148</v>
      </c>
    </row>
    <row r="45" spans="1:17" s="5" customFormat="1" ht="10.050000000000001" customHeight="1" x14ac:dyDescent="0.2">
      <c r="A45" s="3">
        <v>76294165</v>
      </c>
      <c r="B45" s="3" t="s">
        <v>72</v>
      </c>
      <c r="C45" s="3" t="s">
        <v>87</v>
      </c>
      <c r="D45" s="3" t="s">
        <v>32</v>
      </c>
      <c r="E45" s="3" t="s">
        <v>33</v>
      </c>
      <c r="F45" s="3">
        <v>20519499780</v>
      </c>
      <c r="G45" s="3" t="s">
        <v>149</v>
      </c>
      <c r="H45" s="3">
        <v>20519499780</v>
      </c>
      <c r="I45" s="4">
        <v>45973</v>
      </c>
      <c r="J45" s="7">
        <f t="shared" si="0"/>
        <v>411.28813559322037</v>
      </c>
      <c r="K45" s="7">
        <f t="shared" si="1"/>
        <v>74.031864406779661</v>
      </c>
      <c r="L45" s="8">
        <v>485.32</v>
      </c>
      <c r="M45" s="3" t="s">
        <v>19</v>
      </c>
      <c r="N45" s="3" t="s">
        <v>150</v>
      </c>
      <c r="O45" s="3" t="s">
        <v>151</v>
      </c>
      <c r="P45" s="3" t="s">
        <v>152</v>
      </c>
      <c r="Q45" s="3" t="s">
        <v>153</v>
      </c>
    </row>
    <row r="46" spans="1:17" s="5" customFormat="1" ht="10.050000000000001" customHeight="1" x14ac:dyDescent="0.2">
      <c r="A46" s="3">
        <v>76282818</v>
      </c>
      <c r="B46" s="3" t="s">
        <v>27</v>
      </c>
      <c r="C46" s="3" t="s">
        <v>87</v>
      </c>
      <c r="D46" s="3" t="s">
        <v>16</v>
      </c>
      <c r="E46" s="3" t="s">
        <v>17</v>
      </c>
      <c r="F46" s="3">
        <v>20515204165</v>
      </c>
      <c r="G46" s="3" t="s">
        <v>154</v>
      </c>
      <c r="H46" s="3">
        <v>20515204165</v>
      </c>
      <c r="I46" s="4">
        <v>45974</v>
      </c>
      <c r="J46" s="7">
        <f t="shared" si="0"/>
        <v>61.559322033898312</v>
      </c>
      <c r="K46" s="7">
        <f t="shared" si="1"/>
        <v>11.080677966101696</v>
      </c>
      <c r="L46" s="8">
        <v>72.64</v>
      </c>
      <c r="M46" s="3" t="s">
        <v>23</v>
      </c>
      <c r="N46" s="3">
        <v>202509</v>
      </c>
      <c r="O46" s="3"/>
      <c r="P46" s="3"/>
      <c r="Q46" s="3" t="s">
        <v>155</v>
      </c>
    </row>
    <row r="47" spans="1:17" s="5" customFormat="1" ht="10.050000000000001" customHeight="1" x14ac:dyDescent="0.2">
      <c r="A47" s="3">
        <v>76283265</v>
      </c>
      <c r="B47" s="3" t="s">
        <v>27</v>
      </c>
      <c r="C47" s="3" t="s">
        <v>87</v>
      </c>
      <c r="D47" s="3" t="s">
        <v>16</v>
      </c>
      <c r="E47" s="3" t="s">
        <v>17</v>
      </c>
      <c r="F47" s="3">
        <v>20543817512</v>
      </c>
      <c r="G47" s="3" t="s">
        <v>156</v>
      </c>
      <c r="H47" s="3">
        <v>20543817512</v>
      </c>
      <c r="I47" s="4">
        <v>45974</v>
      </c>
      <c r="J47" s="7">
        <f t="shared" si="0"/>
        <v>97.423728813559322</v>
      </c>
      <c r="K47" s="7">
        <f t="shared" si="1"/>
        <v>17.536271186440676</v>
      </c>
      <c r="L47" s="8">
        <v>114.96</v>
      </c>
      <c r="M47" s="3" t="s">
        <v>23</v>
      </c>
      <c r="N47" s="3" t="s">
        <v>157</v>
      </c>
      <c r="O47" s="3"/>
      <c r="P47" s="3"/>
      <c r="Q47" s="3" t="s">
        <v>158</v>
      </c>
    </row>
    <row r="48" spans="1:17" s="5" customFormat="1" ht="10.050000000000001" customHeight="1" x14ac:dyDescent="0.2">
      <c r="A48" s="3">
        <v>76285053</v>
      </c>
      <c r="B48" s="3" t="s">
        <v>15</v>
      </c>
      <c r="C48" s="3" t="s">
        <v>87</v>
      </c>
      <c r="D48" s="3" t="s">
        <v>16</v>
      </c>
      <c r="E48" s="3" t="s">
        <v>17</v>
      </c>
      <c r="F48" s="3">
        <v>20604726906</v>
      </c>
      <c r="G48" s="3" t="s">
        <v>159</v>
      </c>
      <c r="H48" s="3">
        <v>20604726906</v>
      </c>
      <c r="I48" s="4">
        <v>45974</v>
      </c>
      <c r="J48" s="7">
        <f t="shared" si="0"/>
        <v>172.82203389830511</v>
      </c>
      <c r="K48" s="7">
        <f t="shared" si="1"/>
        <v>31.107966101694917</v>
      </c>
      <c r="L48" s="8">
        <v>203.93</v>
      </c>
      <c r="M48" s="3" t="s">
        <v>23</v>
      </c>
      <c r="N48" s="3">
        <v>202509</v>
      </c>
      <c r="O48" s="3"/>
      <c r="P48" s="3" t="s">
        <v>160</v>
      </c>
      <c r="Q48" s="3" t="s">
        <v>161</v>
      </c>
    </row>
    <row r="49" spans="1:17" s="5" customFormat="1" ht="10.050000000000001" customHeight="1" x14ac:dyDescent="0.2">
      <c r="A49" s="3">
        <v>76284392</v>
      </c>
      <c r="B49" s="3" t="s">
        <v>27</v>
      </c>
      <c r="C49" s="3" t="s">
        <v>87</v>
      </c>
      <c r="D49" s="3" t="s">
        <v>16</v>
      </c>
      <c r="E49" s="3" t="s">
        <v>17</v>
      </c>
      <c r="F49" s="3">
        <v>20602042295</v>
      </c>
      <c r="G49" s="3" t="s">
        <v>162</v>
      </c>
      <c r="H49" s="3">
        <v>20602042295</v>
      </c>
      <c r="I49" s="4">
        <v>45974</v>
      </c>
      <c r="J49" s="7">
        <f t="shared" si="0"/>
        <v>56.016949152542374</v>
      </c>
      <c r="K49" s="7">
        <f t="shared" si="1"/>
        <v>10.083050847457628</v>
      </c>
      <c r="L49" s="8">
        <v>66.099999999999994</v>
      </c>
      <c r="M49" s="3" t="s">
        <v>23</v>
      </c>
      <c r="N49" s="3">
        <v>202509</v>
      </c>
      <c r="O49" s="3"/>
      <c r="P49" s="3"/>
      <c r="Q49" s="3" t="s">
        <v>163</v>
      </c>
    </row>
    <row r="50" spans="1:17" s="5" customFormat="1" ht="10.050000000000001" customHeight="1" x14ac:dyDescent="0.2">
      <c r="A50" s="3">
        <v>76284912</v>
      </c>
      <c r="B50" s="3" t="s">
        <v>38</v>
      </c>
      <c r="C50" s="3" t="s">
        <v>87</v>
      </c>
      <c r="D50" s="3" t="s">
        <v>16</v>
      </c>
      <c r="E50" s="3" t="s">
        <v>17</v>
      </c>
      <c r="F50" s="3">
        <v>20603930283</v>
      </c>
      <c r="G50" s="3" t="s">
        <v>164</v>
      </c>
      <c r="H50" s="3">
        <v>20603930283</v>
      </c>
      <c r="I50" s="4">
        <v>45974</v>
      </c>
      <c r="J50" s="7">
        <f t="shared" si="0"/>
        <v>56.016949152542374</v>
      </c>
      <c r="K50" s="7">
        <f t="shared" si="1"/>
        <v>10.083050847457628</v>
      </c>
      <c r="L50" s="8">
        <v>66.099999999999994</v>
      </c>
      <c r="M50" s="3" t="s">
        <v>23</v>
      </c>
      <c r="N50" s="3">
        <v>202509</v>
      </c>
      <c r="O50" s="3"/>
      <c r="P50" s="3" t="s">
        <v>109</v>
      </c>
      <c r="Q50" s="3" t="s">
        <v>165</v>
      </c>
    </row>
    <row r="51" spans="1:17" s="5" customFormat="1" ht="10.050000000000001" customHeight="1" x14ac:dyDescent="0.2">
      <c r="A51" s="3">
        <v>76283734</v>
      </c>
      <c r="B51" s="3" t="s">
        <v>27</v>
      </c>
      <c r="C51" s="3" t="s">
        <v>87</v>
      </c>
      <c r="D51" s="3" t="s">
        <v>16</v>
      </c>
      <c r="E51" s="3" t="s">
        <v>17</v>
      </c>
      <c r="F51" s="3">
        <v>20566213002</v>
      </c>
      <c r="G51" s="3" t="s">
        <v>166</v>
      </c>
      <c r="H51" s="3">
        <v>20566213002</v>
      </c>
      <c r="I51" s="4">
        <v>45979</v>
      </c>
      <c r="J51" s="7">
        <f t="shared" si="0"/>
        <v>135.94915254237287</v>
      </c>
      <c r="K51" s="7">
        <f t="shared" si="1"/>
        <v>24.470847457627116</v>
      </c>
      <c r="L51" s="8">
        <v>160.41999999999999</v>
      </c>
      <c r="M51" s="3" t="s">
        <v>23</v>
      </c>
      <c r="N51" s="3">
        <v>202509</v>
      </c>
      <c r="O51" s="3"/>
      <c r="P51" s="3"/>
      <c r="Q51" s="3" t="s">
        <v>167</v>
      </c>
    </row>
    <row r="52" spans="1:17" s="5" customFormat="1" ht="10.050000000000001" customHeight="1" x14ac:dyDescent="0.2">
      <c r="A52" s="3">
        <v>76292784</v>
      </c>
      <c r="B52" s="3" t="s">
        <v>48</v>
      </c>
      <c r="C52" s="3" t="s">
        <v>87</v>
      </c>
      <c r="D52" s="3" t="s">
        <v>32</v>
      </c>
      <c r="E52" s="3" t="s">
        <v>33</v>
      </c>
      <c r="F52" s="3">
        <v>20477349243</v>
      </c>
      <c r="G52" s="3" t="s">
        <v>168</v>
      </c>
      <c r="H52" s="3">
        <v>20477349243</v>
      </c>
      <c r="I52" s="4">
        <v>45976</v>
      </c>
      <c r="J52" s="7">
        <f t="shared" si="0"/>
        <v>1213.949152542373</v>
      </c>
      <c r="K52" s="7">
        <f t="shared" si="1"/>
        <v>218.51084745762714</v>
      </c>
      <c r="L52" s="8">
        <v>1432.46</v>
      </c>
      <c r="M52" s="3" t="s">
        <v>19</v>
      </c>
      <c r="N52" s="3" t="s">
        <v>169</v>
      </c>
      <c r="O52" s="3" t="s">
        <v>170</v>
      </c>
      <c r="P52" s="3" t="s">
        <v>171</v>
      </c>
      <c r="Q52" s="3" t="s">
        <v>172</v>
      </c>
    </row>
    <row r="53" spans="1:17" s="5" customFormat="1" ht="10.050000000000001" customHeight="1" x14ac:dyDescent="0.2">
      <c r="A53" s="3">
        <v>76286589</v>
      </c>
      <c r="B53" s="3" t="s">
        <v>27</v>
      </c>
      <c r="C53" s="3" t="s">
        <v>87</v>
      </c>
      <c r="D53" s="3" t="s">
        <v>16</v>
      </c>
      <c r="E53" s="3" t="s">
        <v>17</v>
      </c>
      <c r="F53" s="3">
        <v>20611662492</v>
      </c>
      <c r="G53" s="3" t="s">
        <v>173</v>
      </c>
      <c r="H53" s="3">
        <v>20611662492</v>
      </c>
      <c r="I53" s="4">
        <v>45974</v>
      </c>
      <c r="J53" s="7">
        <f t="shared" si="0"/>
        <v>56.016949152542374</v>
      </c>
      <c r="K53" s="7">
        <f t="shared" si="1"/>
        <v>10.083050847457628</v>
      </c>
      <c r="L53" s="8">
        <v>66.099999999999994</v>
      </c>
      <c r="M53" s="3" t="s">
        <v>23</v>
      </c>
      <c r="N53" s="3">
        <v>202509</v>
      </c>
      <c r="O53" s="3"/>
      <c r="P53" s="3"/>
      <c r="Q53" s="3" t="s">
        <v>174</v>
      </c>
    </row>
    <row r="54" spans="1:17" s="5" customFormat="1" ht="10.050000000000001" customHeight="1" x14ac:dyDescent="0.2">
      <c r="A54" s="3">
        <v>76284455</v>
      </c>
      <c r="B54" s="3" t="s">
        <v>15</v>
      </c>
      <c r="C54" s="3" t="s">
        <v>87</v>
      </c>
      <c r="D54" s="3" t="s">
        <v>16</v>
      </c>
      <c r="E54" s="3" t="s">
        <v>17</v>
      </c>
      <c r="F54" s="3">
        <v>20602290248</v>
      </c>
      <c r="G54" s="3" t="s">
        <v>175</v>
      </c>
      <c r="H54" s="3">
        <v>20602290248</v>
      </c>
      <c r="I54" s="4">
        <v>45976</v>
      </c>
      <c r="J54" s="7">
        <f t="shared" si="0"/>
        <v>56.016949152542374</v>
      </c>
      <c r="K54" s="7">
        <f t="shared" si="1"/>
        <v>10.083050847457628</v>
      </c>
      <c r="L54" s="8">
        <v>66.099999999999994</v>
      </c>
      <c r="M54" s="3" t="s">
        <v>23</v>
      </c>
      <c r="N54" s="3">
        <v>202509</v>
      </c>
      <c r="O54" s="3"/>
      <c r="P54" s="3" t="s">
        <v>176</v>
      </c>
      <c r="Q54" s="3" t="s">
        <v>177</v>
      </c>
    </row>
    <row r="55" spans="1:17" s="5" customFormat="1" ht="10.050000000000001" customHeight="1" x14ac:dyDescent="0.2">
      <c r="A55" s="3">
        <v>76282633</v>
      </c>
      <c r="B55" s="3" t="s">
        <v>15</v>
      </c>
      <c r="C55" s="3" t="s">
        <v>87</v>
      </c>
      <c r="D55" s="3" t="s">
        <v>16</v>
      </c>
      <c r="E55" s="3" t="s">
        <v>17</v>
      </c>
      <c r="F55" s="3">
        <v>20498082913</v>
      </c>
      <c r="G55" s="3" t="s">
        <v>178</v>
      </c>
      <c r="H55" s="3">
        <v>20498082913</v>
      </c>
      <c r="I55" s="4">
        <v>45975</v>
      </c>
      <c r="J55" s="7">
        <f t="shared" si="0"/>
        <v>66.13559322033899</v>
      </c>
      <c r="K55" s="7">
        <f t="shared" si="1"/>
        <v>11.904406779661018</v>
      </c>
      <c r="L55" s="8">
        <v>78.040000000000006</v>
      </c>
      <c r="M55" s="3" t="s">
        <v>23</v>
      </c>
      <c r="N55" s="3">
        <v>202509</v>
      </c>
      <c r="O55" s="3"/>
      <c r="P55" s="3" t="s">
        <v>179</v>
      </c>
      <c r="Q55" s="3" t="s">
        <v>180</v>
      </c>
    </row>
    <row r="56" spans="1:17" s="5" customFormat="1" ht="10.050000000000001" customHeight="1" x14ac:dyDescent="0.2">
      <c r="A56" s="3">
        <v>76202203</v>
      </c>
      <c r="B56" s="3" t="s">
        <v>48</v>
      </c>
      <c r="C56" s="3" t="s">
        <v>31</v>
      </c>
      <c r="D56" s="3" t="s">
        <v>181</v>
      </c>
      <c r="E56" s="3" t="s">
        <v>182</v>
      </c>
      <c r="F56" s="3">
        <v>20602804055</v>
      </c>
      <c r="G56" s="3" t="s">
        <v>183</v>
      </c>
      <c r="H56" s="3">
        <v>20602804055</v>
      </c>
      <c r="I56" s="4">
        <v>45975</v>
      </c>
      <c r="J56" s="7">
        <f t="shared" si="0"/>
        <v>1271.1864406779662</v>
      </c>
      <c r="K56" s="7">
        <f t="shared" si="1"/>
        <v>228.81355932203391</v>
      </c>
      <c r="L56" s="8">
        <v>1500</v>
      </c>
      <c r="M56" s="3" t="s">
        <v>23</v>
      </c>
      <c r="N56" s="3" t="s">
        <v>184</v>
      </c>
      <c r="O56" s="3"/>
      <c r="P56" s="3" t="s">
        <v>185</v>
      </c>
      <c r="Q56" s="3" t="s">
        <v>186</v>
      </c>
    </row>
    <row r="57" spans="1:17" s="5" customFormat="1" ht="10.050000000000001" customHeight="1" x14ac:dyDescent="0.2">
      <c r="A57" s="3">
        <v>76284595</v>
      </c>
      <c r="B57" s="3" t="s">
        <v>27</v>
      </c>
      <c r="C57" s="3" t="s">
        <v>87</v>
      </c>
      <c r="D57" s="3" t="s">
        <v>16</v>
      </c>
      <c r="E57" s="3" t="s">
        <v>17</v>
      </c>
      <c r="F57" s="3">
        <v>20602799361</v>
      </c>
      <c r="G57" s="3" t="s">
        <v>187</v>
      </c>
      <c r="H57" s="3">
        <v>20602799361</v>
      </c>
      <c r="I57" s="4">
        <v>45975</v>
      </c>
      <c r="J57" s="7">
        <f t="shared" si="0"/>
        <v>60.542372881355931</v>
      </c>
      <c r="K57" s="7">
        <f t="shared" si="1"/>
        <v>10.897627118644067</v>
      </c>
      <c r="L57" s="8">
        <v>71.44</v>
      </c>
      <c r="M57" s="3" t="s">
        <v>23</v>
      </c>
      <c r="N57" s="3">
        <v>202509</v>
      </c>
      <c r="O57" s="3"/>
      <c r="P57" s="3" t="s">
        <v>188</v>
      </c>
      <c r="Q57" s="3" t="s">
        <v>189</v>
      </c>
    </row>
    <row r="58" spans="1:17" s="5" customFormat="1" ht="10.050000000000001" customHeight="1" x14ac:dyDescent="0.2">
      <c r="A58" s="3">
        <v>76293665</v>
      </c>
      <c r="B58" s="3" t="s">
        <v>72</v>
      </c>
      <c r="C58" s="3" t="s">
        <v>87</v>
      </c>
      <c r="D58" s="3" t="s">
        <v>32</v>
      </c>
      <c r="E58" s="3" t="s">
        <v>33</v>
      </c>
      <c r="F58" s="3">
        <v>20509470848</v>
      </c>
      <c r="G58" s="3" t="s">
        <v>190</v>
      </c>
      <c r="H58" s="3">
        <v>20509470848</v>
      </c>
      <c r="I58" s="4">
        <v>45975</v>
      </c>
      <c r="J58" s="7">
        <f t="shared" si="0"/>
        <v>638.66101694915255</v>
      </c>
      <c r="K58" s="7">
        <f t="shared" si="1"/>
        <v>114.95898305084745</v>
      </c>
      <c r="L58" s="8">
        <v>753.62</v>
      </c>
      <c r="M58" s="3" t="s">
        <v>19</v>
      </c>
      <c r="N58" s="3" t="s">
        <v>191</v>
      </c>
      <c r="O58" s="3" t="s">
        <v>192</v>
      </c>
      <c r="P58" s="3"/>
      <c r="Q58" s="3" t="s">
        <v>193</v>
      </c>
    </row>
    <row r="59" spans="1:17" s="5" customFormat="1" ht="10.050000000000001" customHeight="1" x14ac:dyDescent="0.2">
      <c r="A59" s="3">
        <v>76286227</v>
      </c>
      <c r="B59" s="3" t="s">
        <v>38</v>
      </c>
      <c r="C59" s="3" t="s">
        <v>87</v>
      </c>
      <c r="D59" s="3" t="s">
        <v>16</v>
      </c>
      <c r="E59" s="3" t="s">
        <v>17</v>
      </c>
      <c r="F59" s="3">
        <v>20610091955</v>
      </c>
      <c r="G59" s="3" t="s">
        <v>194</v>
      </c>
      <c r="H59" s="3">
        <v>20610091955</v>
      </c>
      <c r="I59" s="4">
        <v>45975</v>
      </c>
      <c r="J59" s="7">
        <f t="shared" si="0"/>
        <v>56.016949152542374</v>
      </c>
      <c r="K59" s="7">
        <f t="shared" si="1"/>
        <v>10.083050847457628</v>
      </c>
      <c r="L59" s="8">
        <v>66.099999999999994</v>
      </c>
      <c r="M59" s="3" t="s">
        <v>23</v>
      </c>
      <c r="N59" s="3">
        <v>202509</v>
      </c>
      <c r="O59" s="3"/>
      <c r="P59" s="3" t="s">
        <v>109</v>
      </c>
      <c r="Q59" s="3" t="s">
        <v>195</v>
      </c>
    </row>
    <row r="60" spans="1:17" s="5" customFormat="1" ht="10.050000000000001" customHeight="1" x14ac:dyDescent="0.2">
      <c r="A60" s="3">
        <v>76286058</v>
      </c>
      <c r="B60" s="3" t="s">
        <v>15</v>
      </c>
      <c r="C60" s="3" t="s">
        <v>87</v>
      </c>
      <c r="D60" s="3" t="s">
        <v>16</v>
      </c>
      <c r="E60" s="3" t="s">
        <v>17</v>
      </c>
      <c r="F60" s="3">
        <v>20609392208</v>
      </c>
      <c r="G60" s="3" t="s">
        <v>196</v>
      </c>
      <c r="H60" s="3">
        <v>20609392208</v>
      </c>
      <c r="I60" s="4">
        <v>45975</v>
      </c>
      <c r="J60" s="7">
        <f t="shared" si="0"/>
        <v>127.05084745762711</v>
      </c>
      <c r="K60" s="7">
        <f t="shared" si="1"/>
        <v>22.869152542372881</v>
      </c>
      <c r="L60" s="8">
        <v>149.91999999999999</v>
      </c>
      <c r="M60" s="3" t="s">
        <v>23</v>
      </c>
      <c r="N60" s="3">
        <v>202509</v>
      </c>
      <c r="O60" s="3"/>
      <c r="P60" s="3" t="s">
        <v>197</v>
      </c>
      <c r="Q60" s="3" t="s">
        <v>198</v>
      </c>
    </row>
    <row r="61" spans="1:17" s="5" customFormat="1" ht="10.050000000000001" customHeight="1" x14ac:dyDescent="0.2">
      <c r="A61" s="3">
        <v>76283630</v>
      </c>
      <c r="B61" s="3" t="s">
        <v>27</v>
      </c>
      <c r="C61" s="3" t="s">
        <v>87</v>
      </c>
      <c r="D61" s="3" t="s">
        <v>16</v>
      </c>
      <c r="E61" s="3" t="s">
        <v>17</v>
      </c>
      <c r="F61" s="3">
        <v>20558622068</v>
      </c>
      <c r="G61" s="3" t="s">
        <v>199</v>
      </c>
      <c r="H61" s="3">
        <v>20558622068</v>
      </c>
      <c r="I61" s="4">
        <v>45974</v>
      </c>
      <c r="J61" s="7">
        <f t="shared" si="0"/>
        <v>587.55932203389841</v>
      </c>
      <c r="K61" s="7">
        <f t="shared" si="1"/>
        <v>105.76067796610171</v>
      </c>
      <c r="L61" s="8">
        <v>693.32</v>
      </c>
      <c r="M61" s="3" t="s">
        <v>19</v>
      </c>
      <c r="N61" s="3" t="s">
        <v>84</v>
      </c>
      <c r="O61" s="3">
        <v>202509</v>
      </c>
      <c r="P61" s="3"/>
      <c r="Q61" s="3" t="s">
        <v>200</v>
      </c>
    </row>
    <row r="62" spans="1:17" s="5" customFormat="1" ht="10.050000000000001" customHeight="1" x14ac:dyDescent="0.2">
      <c r="A62" s="3">
        <v>76286207</v>
      </c>
      <c r="B62" s="3" t="s">
        <v>15</v>
      </c>
      <c r="C62" s="3" t="s">
        <v>87</v>
      </c>
      <c r="D62" s="3" t="s">
        <v>16</v>
      </c>
      <c r="E62" s="3" t="s">
        <v>17</v>
      </c>
      <c r="F62" s="3">
        <v>20609988658</v>
      </c>
      <c r="G62" s="3" t="s">
        <v>201</v>
      </c>
      <c r="H62" s="3">
        <v>20609988658</v>
      </c>
      <c r="I62" s="4">
        <v>45975</v>
      </c>
      <c r="J62" s="7">
        <f t="shared" si="0"/>
        <v>76.271186440677965</v>
      </c>
      <c r="K62" s="7">
        <f t="shared" si="1"/>
        <v>13.728813559322033</v>
      </c>
      <c r="L62" s="8">
        <v>90</v>
      </c>
      <c r="M62" s="3" t="s">
        <v>23</v>
      </c>
      <c r="N62" s="3" t="s">
        <v>202</v>
      </c>
      <c r="O62" s="3"/>
      <c r="P62" s="3" t="s">
        <v>203</v>
      </c>
      <c r="Q62" s="3" t="s">
        <v>204</v>
      </c>
    </row>
    <row r="63" spans="1:17" s="5" customFormat="1" ht="10.050000000000001" customHeight="1" x14ac:dyDescent="0.2">
      <c r="A63" s="3">
        <v>76293598</v>
      </c>
      <c r="B63" s="3" t="s">
        <v>48</v>
      </c>
      <c r="C63" s="3" t="s">
        <v>87</v>
      </c>
      <c r="D63" s="3" t="s">
        <v>32</v>
      </c>
      <c r="E63" s="3" t="s">
        <v>33</v>
      </c>
      <c r="F63" s="3">
        <v>20508114843</v>
      </c>
      <c r="G63" s="3" t="s">
        <v>205</v>
      </c>
      <c r="H63" s="3">
        <v>20508114843</v>
      </c>
      <c r="I63" s="4">
        <v>45975</v>
      </c>
      <c r="J63" s="7">
        <f t="shared" si="0"/>
        <v>163.98305084745763</v>
      </c>
      <c r="K63" s="7">
        <f t="shared" si="1"/>
        <v>29.516949152542374</v>
      </c>
      <c r="L63" s="8">
        <v>193.5</v>
      </c>
      <c r="M63" s="3" t="s">
        <v>19</v>
      </c>
      <c r="N63" s="3" t="s">
        <v>206</v>
      </c>
      <c r="O63" s="3" t="s">
        <v>207</v>
      </c>
      <c r="P63" s="3"/>
      <c r="Q63" s="3" t="s">
        <v>208</v>
      </c>
    </row>
    <row r="64" spans="1:17" s="5" customFormat="1" ht="10.050000000000001" customHeight="1" x14ac:dyDescent="0.2">
      <c r="A64" s="3">
        <v>76286590</v>
      </c>
      <c r="B64" s="3" t="s">
        <v>27</v>
      </c>
      <c r="C64" s="3" t="s">
        <v>87</v>
      </c>
      <c r="D64" s="3" t="s">
        <v>16</v>
      </c>
      <c r="E64" s="3" t="s">
        <v>17</v>
      </c>
      <c r="F64" s="3">
        <v>20611665076</v>
      </c>
      <c r="G64" s="3" t="s">
        <v>209</v>
      </c>
      <c r="H64" s="3">
        <v>20611665076</v>
      </c>
      <c r="I64" s="4">
        <v>45974</v>
      </c>
      <c r="J64" s="7">
        <f t="shared" si="0"/>
        <v>88.567796610169495</v>
      </c>
      <c r="K64" s="7">
        <f t="shared" si="1"/>
        <v>15.942203389830508</v>
      </c>
      <c r="L64" s="8">
        <v>104.51</v>
      </c>
      <c r="M64" s="3" t="s">
        <v>23</v>
      </c>
      <c r="N64" s="3">
        <v>202509</v>
      </c>
      <c r="O64" s="3"/>
      <c r="P64" s="3"/>
      <c r="Q64" s="3" t="s">
        <v>210</v>
      </c>
    </row>
    <row r="65" spans="1:17" s="5" customFormat="1" ht="10.050000000000001" customHeight="1" x14ac:dyDescent="0.2">
      <c r="A65" s="3">
        <v>76286762</v>
      </c>
      <c r="B65" s="3" t="s">
        <v>27</v>
      </c>
      <c r="C65" s="3" t="s">
        <v>87</v>
      </c>
      <c r="D65" s="3" t="s">
        <v>16</v>
      </c>
      <c r="E65" s="3" t="s">
        <v>17</v>
      </c>
      <c r="F65" s="3">
        <v>20612404454</v>
      </c>
      <c r="G65" s="3" t="s">
        <v>211</v>
      </c>
      <c r="H65" s="3">
        <v>20612404454</v>
      </c>
      <c r="I65" s="4">
        <v>45974</v>
      </c>
      <c r="J65" s="7">
        <f t="shared" si="0"/>
        <v>68.355932203389827</v>
      </c>
      <c r="K65" s="7">
        <f t="shared" si="1"/>
        <v>12.304067796610168</v>
      </c>
      <c r="L65" s="8">
        <v>80.66</v>
      </c>
      <c r="M65" s="3" t="s">
        <v>23</v>
      </c>
      <c r="N65" s="3">
        <v>202509</v>
      </c>
      <c r="O65" s="3"/>
      <c r="P65" s="3"/>
      <c r="Q65" s="3" t="s">
        <v>212</v>
      </c>
    </row>
    <row r="66" spans="1:17" s="5" customFormat="1" ht="10.050000000000001" customHeight="1" x14ac:dyDescent="0.2">
      <c r="A66" s="3">
        <v>76307879</v>
      </c>
      <c r="B66" s="3" t="s">
        <v>38</v>
      </c>
      <c r="C66" s="3" t="s">
        <v>87</v>
      </c>
      <c r="D66" s="3" t="s">
        <v>88</v>
      </c>
      <c r="E66" s="3" t="s">
        <v>89</v>
      </c>
      <c r="F66" s="3">
        <v>20440395164</v>
      </c>
      <c r="G66" s="3" t="s">
        <v>213</v>
      </c>
      <c r="H66" s="3">
        <v>20440395164</v>
      </c>
      <c r="I66" s="4">
        <v>45978</v>
      </c>
      <c r="J66" s="7">
        <f t="shared" si="0"/>
        <v>56.016949152542374</v>
      </c>
      <c r="K66" s="7">
        <f t="shared" si="1"/>
        <v>10.083050847457628</v>
      </c>
      <c r="L66" s="8">
        <v>66.099999999999994</v>
      </c>
      <c r="M66" s="3" t="s">
        <v>23</v>
      </c>
      <c r="N66" s="3">
        <v>202509</v>
      </c>
      <c r="O66" s="3"/>
      <c r="P66" s="3"/>
      <c r="Q66" s="3" t="s">
        <v>214</v>
      </c>
    </row>
    <row r="67" spans="1:17" s="5" customFormat="1" ht="10.050000000000001" customHeight="1" x14ac:dyDescent="0.2">
      <c r="A67" s="3">
        <v>76285983</v>
      </c>
      <c r="B67" s="3" t="s">
        <v>27</v>
      </c>
      <c r="C67" s="3" t="s">
        <v>87</v>
      </c>
      <c r="D67" s="3" t="s">
        <v>16</v>
      </c>
      <c r="E67" s="3" t="s">
        <v>17</v>
      </c>
      <c r="F67" s="3">
        <v>20609040433</v>
      </c>
      <c r="G67" s="3" t="s">
        <v>215</v>
      </c>
      <c r="H67" s="3">
        <v>20609040433</v>
      </c>
      <c r="I67" s="4">
        <v>45978</v>
      </c>
      <c r="J67" s="7">
        <f t="shared" ref="J67:J130" si="2">+L67/1.18</f>
        <v>57.991525423728824</v>
      </c>
      <c r="K67" s="7">
        <f t="shared" ref="K67:K130" si="3">J67*0.18</f>
        <v>10.438474576271188</v>
      </c>
      <c r="L67" s="8">
        <v>68.430000000000007</v>
      </c>
      <c r="M67" s="3" t="s">
        <v>23</v>
      </c>
      <c r="N67" s="3">
        <v>202509</v>
      </c>
      <c r="O67" s="3"/>
      <c r="P67" s="3"/>
      <c r="Q67" s="3" t="s">
        <v>216</v>
      </c>
    </row>
    <row r="68" spans="1:17" s="5" customFormat="1" ht="10.050000000000001" customHeight="1" x14ac:dyDescent="0.2">
      <c r="A68" s="3">
        <v>76282061</v>
      </c>
      <c r="B68" s="3" t="s">
        <v>27</v>
      </c>
      <c r="C68" s="3" t="s">
        <v>87</v>
      </c>
      <c r="D68" s="3" t="s">
        <v>16</v>
      </c>
      <c r="E68" s="3" t="s">
        <v>17</v>
      </c>
      <c r="F68" s="3">
        <v>20100112648</v>
      </c>
      <c r="G68" s="3" t="s">
        <v>217</v>
      </c>
      <c r="H68" s="3">
        <v>20100112648</v>
      </c>
      <c r="I68" s="4">
        <v>45978</v>
      </c>
      <c r="J68" s="7">
        <f t="shared" si="2"/>
        <v>70.288135593220346</v>
      </c>
      <c r="K68" s="7">
        <f t="shared" si="3"/>
        <v>12.651864406779662</v>
      </c>
      <c r="L68" s="8">
        <v>82.94</v>
      </c>
      <c r="M68" s="3" t="s">
        <v>23</v>
      </c>
      <c r="N68" s="3">
        <v>202509</v>
      </c>
      <c r="O68" s="3"/>
      <c r="P68" s="3"/>
      <c r="Q68" s="3" t="s">
        <v>218</v>
      </c>
    </row>
    <row r="69" spans="1:17" s="5" customFormat="1" ht="10.050000000000001" customHeight="1" x14ac:dyDescent="0.2">
      <c r="A69" s="3">
        <v>76307497</v>
      </c>
      <c r="B69" s="3" t="s">
        <v>38</v>
      </c>
      <c r="C69" s="3" t="s">
        <v>87</v>
      </c>
      <c r="D69" s="3" t="s">
        <v>88</v>
      </c>
      <c r="E69" s="3" t="s">
        <v>89</v>
      </c>
      <c r="F69" s="3">
        <v>20203252324</v>
      </c>
      <c r="G69" s="3" t="s">
        <v>219</v>
      </c>
      <c r="H69" s="3">
        <v>20203252324</v>
      </c>
      <c r="I69" s="4">
        <v>45978</v>
      </c>
      <c r="J69" s="7">
        <f t="shared" si="2"/>
        <v>124.42372881355932</v>
      </c>
      <c r="K69" s="7">
        <f t="shared" si="3"/>
        <v>22.396271186440678</v>
      </c>
      <c r="L69" s="8">
        <v>146.82</v>
      </c>
      <c r="M69" s="3" t="s">
        <v>23</v>
      </c>
      <c r="N69" s="3" t="s">
        <v>220</v>
      </c>
      <c r="O69" s="3"/>
      <c r="P69" s="3" t="s">
        <v>221</v>
      </c>
      <c r="Q69" s="3" t="s">
        <v>222</v>
      </c>
    </row>
    <row r="70" spans="1:17" s="5" customFormat="1" ht="10.050000000000001" customHeight="1" x14ac:dyDescent="0.2">
      <c r="A70" s="3">
        <v>76281706</v>
      </c>
      <c r="B70" s="3" t="s">
        <v>27</v>
      </c>
      <c r="C70" s="3" t="s">
        <v>87</v>
      </c>
      <c r="D70" s="3" t="s">
        <v>16</v>
      </c>
      <c r="E70" s="3" t="s">
        <v>17</v>
      </c>
      <c r="F70" s="3">
        <v>17837529</v>
      </c>
      <c r="G70" s="3" t="s">
        <v>223</v>
      </c>
      <c r="H70" s="3">
        <v>10178375291</v>
      </c>
      <c r="I70" s="4">
        <v>45976</v>
      </c>
      <c r="J70" s="7">
        <f t="shared" si="2"/>
        <v>56.016949152542374</v>
      </c>
      <c r="K70" s="7">
        <f t="shared" si="3"/>
        <v>10.083050847457628</v>
      </c>
      <c r="L70" s="8">
        <v>66.099999999999994</v>
      </c>
      <c r="M70" s="3" t="s">
        <v>23</v>
      </c>
      <c r="N70" s="3">
        <v>202509</v>
      </c>
      <c r="O70" s="3"/>
      <c r="P70" s="3"/>
      <c r="Q70" s="3" t="s">
        <v>224</v>
      </c>
    </row>
    <row r="71" spans="1:17" s="5" customFormat="1" ht="10.050000000000001" customHeight="1" x14ac:dyDescent="0.2">
      <c r="A71" s="3">
        <v>76284074</v>
      </c>
      <c r="B71" s="3" t="s">
        <v>15</v>
      </c>
      <c r="C71" s="3" t="s">
        <v>87</v>
      </c>
      <c r="D71" s="3" t="s">
        <v>16</v>
      </c>
      <c r="E71" s="3" t="s">
        <v>17</v>
      </c>
      <c r="F71" s="3">
        <v>20601068088</v>
      </c>
      <c r="G71" s="3" t="s">
        <v>225</v>
      </c>
      <c r="H71" s="3">
        <v>20601068088</v>
      </c>
      <c r="I71" s="4">
        <v>45979</v>
      </c>
      <c r="J71" s="7">
        <f t="shared" si="2"/>
        <v>139.83050847457628</v>
      </c>
      <c r="K71" s="7">
        <f t="shared" si="3"/>
        <v>25.16949152542373</v>
      </c>
      <c r="L71" s="8">
        <v>165</v>
      </c>
      <c r="M71" s="3" t="s">
        <v>23</v>
      </c>
      <c r="N71" s="3">
        <v>202509</v>
      </c>
      <c r="O71" s="3"/>
      <c r="P71" s="3" t="s">
        <v>226</v>
      </c>
      <c r="Q71" s="3" t="s">
        <v>227</v>
      </c>
    </row>
    <row r="72" spans="1:17" s="5" customFormat="1" ht="10.050000000000001" customHeight="1" x14ac:dyDescent="0.2">
      <c r="A72" s="3">
        <v>76307536</v>
      </c>
      <c r="B72" s="3" t="s">
        <v>38</v>
      </c>
      <c r="C72" s="3" t="s">
        <v>87</v>
      </c>
      <c r="D72" s="3" t="s">
        <v>88</v>
      </c>
      <c r="E72" s="3" t="s">
        <v>89</v>
      </c>
      <c r="F72" s="3">
        <v>20216839570</v>
      </c>
      <c r="G72" s="3" t="s">
        <v>228</v>
      </c>
      <c r="H72" s="3">
        <v>20216839570</v>
      </c>
      <c r="I72" s="4">
        <v>45979</v>
      </c>
      <c r="J72" s="7">
        <f t="shared" si="2"/>
        <v>184.11864406779662</v>
      </c>
      <c r="K72" s="7">
        <f t="shared" si="3"/>
        <v>33.141355932203389</v>
      </c>
      <c r="L72" s="8">
        <v>217.26</v>
      </c>
      <c r="M72" s="3" t="s">
        <v>23</v>
      </c>
      <c r="N72" s="3">
        <v>200407</v>
      </c>
      <c r="O72" s="3"/>
      <c r="P72" s="3"/>
      <c r="Q72" s="3" t="s">
        <v>229</v>
      </c>
    </row>
    <row r="73" spans="1:17" s="5" customFormat="1" ht="10.050000000000001" customHeight="1" x14ac:dyDescent="0.2">
      <c r="A73" s="3">
        <v>76285778</v>
      </c>
      <c r="B73" s="3" t="s">
        <v>15</v>
      </c>
      <c r="C73" s="3" t="s">
        <v>87</v>
      </c>
      <c r="D73" s="3" t="s">
        <v>16</v>
      </c>
      <c r="E73" s="3" t="s">
        <v>17</v>
      </c>
      <c r="F73" s="3">
        <v>20608197681</v>
      </c>
      <c r="G73" s="3" t="s">
        <v>230</v>
      </c>
      <c r="H73" s="3">
        <v>20608197681</v>
      </c>
      <c r="I73" s="4">
        <v>45979</v>
      </c>
      <c r="J73" s="7">
        <f t="shared" si="2"/>
        <v>84.745762711864415</v>
      </c>
      <c r="K73" s="7">
        <f t="shared" si="3"/>
        <v>15.254237288135593</v>
      </c>
      <c r="L73" s="8">
        <v>100</v>
      </c>
      <c r="M73" s="3" t="s">
        <v>23</v>
      </c>
      <c r="N73" s="3">
        <v>202509</v>
      </c>
      <c r="O73" s="3"/>
      <c r="P73" s="3" t="s">
        <v>231</v>
      </c>
      <c r="Q73" s="3" t="s">
        <v>232</v>
      </c>
    </row>
    <row r="74" spans="1:17" s="5" customFormat="1" ht="10.050000000000001" customHeight="1" x14ac:dyDescent="0.2">
      <c r="A74" s="3">
        <v>76284383</v>
      </c>
      <c r="B74" s="3" t="s">
        <v>15</v>
      </c>
      <c r="C74" s="3" t="s">
        <v>87</v>
      </c>
      <c r="D74" s="3" t="s">
        <v>16</v>
      </c>
      <c r="E74" s="3" t="s">
        <v>17</v>
      </c>
      <c r="F74" s="3">
        <v>20602022308</v>
      </c>
      <c r="G74" s="3" t="s">
        <v>233</v>
      </c>
      <c r="H74" s="3">
        <v>20602022308</v>
      </c>
      <c r="I74" s="4">
        <v>45979</v>
      </c>
      <c r="J74" s="7">
        <f t="shared" si="2"/>
        <v>87.381355932203391</v>
      </c>
      <c r="K74" s="7">
        <f t="shared" si="3"/>
        <v>15.72864406779661</v>
      </c>
      <c r="L74" s="8">
        <v>103.11</v>
      </c>
      <c r="M74" s="3" t="s">
        <v>23</v>
      </c>
      <c r="N74" s="3">
        <v>202509</v>
      </c>
      <c r="O74" s="3"/>
      <c r="P74" s="3" t="s">
        <v>234</v>
      </c>
      <c r="Q74" s="3" t="s">
        <v>235</v>
      </c>
    </row>
    <row r="75" spans="1:17" s="5" customFormat="1" ht="10.050000000000001" customHeight="1" x14ac:dyDescent="0.2">
      <c r="A75" s="3">
        <v>76283921</v>
      </c>
      <c r="B75" s="3" t="s">
        <v>27</v>
      </c>
      <c r="C75" s="3" t="s">
        <v>87</v>
      </c>
      <c r="D75" s="3" t="s">
        <v>16</v>
      </c>
      <c r="E75" s="3" t="s">
        <v>17</v>
      </c>
      <c r="F75" s="3">
        <v>20600510330</v>
      </c>
      <c r="G75" s="3" t="s">
        <v>236</v>
      </c>
      <c r="H75" s="3">
        <v>20600510330</v>
      </c>
      <c r="I75" s="4">
        <v>45979</v>
      </c>
      <c r="J75" s="7">
        <f t="shared" si="2"/>
        <v>56.016949152542374</v>
      </c>
      <c r="K75" s="7">
        <f t="shared" si="3"/>
        <v>10.083050847457628</v>
      </c>
      <c r="L75" s="8">
        <v>66.099999999999994</v>
      </c>
      <c r="M75" s="3" t="s">
        <v>23</v>
      </c>
      <c r="N75" s="3" t="s">
        <v>108</v>
      </c>
      <c r="O75" s="3"/>
      <c r="P75" s="3"/>
      <c r="Q75" s="3" t="s">
        <v>237</v>
      </c>
    </row>
    <row r="76" spans="1:17" s="5" customFormat="1" ht="10.050000000000001" customHeight="1" x14ac:dyDescent="0.2">
      <c r="A76" s="3">
        <v>76285424</v>
      </c>
      <c r="B76" s="3" t="s">
        <v>27</v>
      </c>
      <c r="C76" s="3" t="s">
        <v>87</v>
      </c>
      <c r="D76" s="3" t="s">
        <v>16</v>
      </c>
      <c r="E76" s="3" t="s">
        <v>17</v>
      </c>
      <c r="F76" s="3">
        <v>20606379588</v>
      </c>
      <c r="G76" s="3" t="s">
        <v>238</v>
      </c>
      <c r="H76" s="3">
        <v>20606379588</v>
      </c>
      <c r="I76" s="4">
        <v>45979</v>
      </c>
      <c r="J76" s="7">
        <f t="shared" si="2"/>
        <v>56.016949152542374</v>
      </c>
      <c r="K76" s="7">
        <f t="shared" si="3"/>
        <v>10.083050847457628</v>
      </c>
      <c r="L76" s="8">
        <v>66.099999999999994</v>
      </c>
      <c r="M76" s="3" t="s">
        <v>23</v>
      </c>
      <c r="N76" s="3">
        <v>202509</v>
      </c>
      <c r="O76" s="3"/>
      <c r="P76" s="3"/>
      <c r="Q76" s="3" t="s">
        <v>239</v>
      </c>
    </row>
    <row r="77" spans="1:17" s="5" customFormat="1" ht="10.050000000000001" customHeight="1" x14ac:dyDescent="0.2">
      <c r="A77" s="3">
        <v>76286880</v>
      </c>
      <c r="B77" s="3" t="s">
        <v>38</v>
      </c>
      <c r="C77" s="3" t="s">
        <v>87</v>
      </c>
      <c r="D77" s="3" t="s">
        <v>16</v>
      </c>
      <c r="E77" s="3" t="s">
        <v>17</v>
      </c>
      <c r="F77" s="3">
        <v>20612966797</v>
      </c>
      <c r="G77" s="3" t="s">
        <v>240</v>
      </c>
      <c r="H77" s="3">
        <v>20612966797</v>
      </c>
      <c r="I77" s="4">
        <v>45980</v>
      </c>
      <c r="J77" s="7">
        <f t="shared" si="2"/>
        <v>56.016949152542374</v>
      </c>
      <c r="K77" s="7">
        <f t="shared" si="3"/>
        <v>10.083050847457628</v>
      </c>
      <c r="L77" s="8">
        <v>66.099999999999994</v>
      </c>
      <c r="M77" s="3" t="s">
        <v>23</v>
      </c>
      <c r="N77" s="3">
        <v>202509</v>
      </c>
      <c r="O77" s="3"/>
      <c r="P77" s="3" t="s">
        <v>241</v>
      </c>
      <c r="Q77" s="3" t="s">
        <v>242</v>
      </c>
    </row>
    <row r="78" spans="1:17" s="5" customFormat="1" ht="10.050000000000001" customHeight="1" x14ac:dyDescent="0.2">
      <c r="A78" s="3">
        <v>76308331</v>
      </c>
      <c r="B78" s="3" t="s">
        <v>243</v>
      </c>
      <c r="C78" s="3" t="s">
        <v>87</v>
      </c>
      <c r="D78" s="3" t="s">
        <v>88</v>
      </c>
      <c r="E78" s="3" t="s">
        <v>89</v>
      </c>
      <c r="F78" s="3">
        <v>20515270036</v>
      </c>
      <c r="G78" s="3" t="s">
        <v>244</v>
      </c>
      <c r="H78" s="3">
        <v>20515270036</v>
      </c>
      <c r="I78" s="4">
        <v>45980</v>
      </c>
      <c r="J78" s="7">
        <f t="shared" si="2"/>
        <v>56.016949152542374</v>
      </c>
      <c r="K78" s="7">
        <f t="shared" si="3"/>
        <v>10.083050847457628</v>
      </c>
      <c r="L78" s="8">
        <v>66.099999999999994</v>
      </c>
      <c r="M78" s="3" t="s">
        <v>23</v>
      </c>
      <c r="N78" s="3" t="s">
        <v>245</v>
      </c>
      <c r="O78" s="3"/>
      <c r="P78" s="3"/>
      <c r="Q78" s="3" t="s">
        <v>246</v>
      </c>
    </row>
    <row r="79" spans="1:17" s="5" customFormat="1" ht="10.050000000000001" customHeight="1" x14ac:dyDescent="0.2">
      <c r="A79" s="3">
        <v>76284257</v>
      </c>
      <c r="B79" s="3" t="s">
        <v>15</v>
      </c>
      <c r="C79" s="3" t="s">
        <v>87</v>
      </c>
      <c r="D79" s="3" t="s">
        <v>16</v>
      </c>
      <c r="E79" s="3" t="s">
        <v>17</v>
      </c>
      <c r="F79" s="3">
        <v>20601648661</v>
      </c>
      <c r="G79" s="3" t="s">
        <v>247</v>
      </c>
      <c r="H79" s="3">
        <v>20601648661</v>
      </c>
      <c r="I79" s="4">
        <v>45980</v>
      </c>
      <c r="J79" s="7">
        <f t="shared" si="2"/>
        <v>46.610169491525426</v>
      </c>
      <c r="K79" s="7">
        <f t="shared" si="3"/>
        <v>8.3898305084745761</v>
      </c>
      <c r="L79" s="8">
        <v>55</v>
      </c>
      <c r="M79" s="3" t="s">
        <v>23</v>
      </c>
      <c r="N79" s="3" t="s">
        <v>108</v>
      </c>
      <c r="O79" s="3"/>
      <c r="P79" s="3" t="s">
        <v>248</v>
      </c>
      <c r="Q79" s="3" t="s">
        <v>249</v>
      </c>
    </row>
    <row r="80" spans="1:17" s="5" customFormat="1" ht="10.050000000000001" customHeight="1" x14ac:dyDescent="0.2">
      <c r="A80" s="3">
        <v>76308601</v>
      </c>
      <c r="B80" s="3" t="s">
        <v>38</v>
      </c>
      <c r="C80" s="3" t="s">
        <v>87</v>
      </c>
      <c r="D80" s="3" t="s">
        <v>88</v>
      </c>
      <c r="E80" s="3" t="s">
        <v>89</v>
      </c>
      <c r="F80" s="3">
        <v>20613793357</v>
      </c>
      <c r="G80" s="3" t="s">
        <v>250</v>
      </c>
      <c r="H80" s="3">
        <v>20613793357</v>
      </c>
      <c r="I80" s="4">
        <v>45980</v>
      </c>
      <c r="J80" s="7">
        <f t="shared" si="2"/>
        <v>56.016949152542374</v>
      </c>
      <c r="K80" s="7">
        <f t="shared" si="3"/>
        <v>10.083050847457628</v>
      </c>
      <c r="L80" s="8">
        <v>66.099999999999994</v>
      </c>
      <c r="M80" s="3" t="s">
        <v>23</v>
      </c>
      <c r="N80" s="3">
        <v>202508</v>
      </c>
      <c r="O80" s="3"/>
      <c r="P80" s="3"/>
      <c r="Q80" s="3" t="s">
        <v>251</v>
      </c>
    </row>
    <row r="81" spans="1:17" s="5" customFormat="1" ht="10.050000000000001" customHeight="1" x14ac:dyDescent="0.2">
      <c r="A81" s="3">
        <v>76285594</v>
      </c>
      <c r="B81" s="3" t="s">
        <v>15</v>
      </c>
      <c r="C81" s="3" t="s">
        <v>87</v>
      </c>
      <c r="D81" s="3" t="s">
        <v>16</v>
      </c>
      <c r="E81" s="3" t="s">
        <v>17</v>
      </c>
      <c r="F81" s="3">
        <v>20607244686</v>
      </c>
      <c r="G81" s="3" t="s">
        <v>252</v>
      </c>
      <c r="H81" s="3">
        <v>20607244686</v>
      </c>
      <c r="I81" s="4">
        <v>45980</v>
      </c>
      <c r="J81" s="7">
        <f t="shared" si="2"/>
        <v>87.288135593220346</v>
      </c>
      <c r="K81" s="7">
        <f t="shared" si="3"/>
        <v>15.711864406779661</v>
      </c>
      <c r="L81" s="8">
        <v>103</v>
      </c>
      <c r="M81" s="3" t="s">
        <v>19</v>
      </c>
      <c r="N81" s="3" t="s">
        <v>108</v>
      </c>
      <c r="O81" s="3">
        <v>202509</v>
      </c>
      <c r="P81" s="3" t="s">
        <v>253</v>
      </c>
      <c r="Q81" s="3" t="s">
        <v>254</v>
      </c>
    </row>
    <row r="82" spans="1:17" s="5" customFormat="1" ht="10.050000000000001" customHeight="1" x14ac:dyDescent="0.2">
      <c r="A82" s="3">
        <v>76286859</v>
      </c>
      <c r="B82" s="3" t="s">
        <v>15</v>
      </c>
      <c r="C82" s="3" t="s">
        <v>87</v>
      </c>
      <c r="D82" s="3" t="s">
        <v>16</v>
      </c>
      <c r="E82" s="3" t="s">
        <v>17</v>
      </c>
      <c r="F82" s="3">
        <v>20612873497</v>
      </c>
      <c r="G82" s="3" t="s">
        <v>255</v>
      </c>
      <c r="H82" s="3">
        <v>20612873497</v>
      </c>
      <c r="I82" s="4">
        <v>45979</v>
      </c>
      <c r="J82" s="7">
        <f t="shared" si="2"/>
        <v>78.813559322033896</v>
      </c>
      <c r="K82" s="7">
        <f t="shared" si="3"/>
        <v>14.1864406779661</v>
      </c>
      <c r="L82" s="8">
        <v>93</v>
      </c>
      <c r="M82" s="3" t="s">
        <v>23</v>
      </c>
      <c r="N82" s="3" t="s">
        <v>108</v>
      </c>
      <c r="O82" s="3"/>
      <c r="P82" s="3" t="s">
        <v>256</v>
      </c>
      <c r="Q82" s="3" t="s">
        <v>257</v>
      </c>
    </row>
    <row r="83" spans="1:17" s="5" customFormat="1" ht="10.050000000000001" customHeight="1" x14ac:dyDescent="0.2">
      <c r="A83" s="3">
        <v>76283527</v>
      </c>
      <c r="B83" s="3" t="s">
        <v>15</v>
      </c>
      <c r="C83" s="3" t="s">
        <v>87</v>
      </c>
      <c r="D83" s="3" t="s">
        <v>16</v>
      </c>
      <c r="E83" s="3" t="s">
        <v>17</v>
      </c>
      <c r="F83" s="3">
        <v>20554482211</v>
      </c>
      <c r="G83" s="3" t="s">
        <v>258</v>
      </c>
      <c r="H83" s="3">
        <v>20554482211</v>
      </c>
      <c r="I83" s="4">
        <v>45980</v>
      </c>
      <c r="J83" s="7">
        <f t="shared" si="2"/>
        <v>56.016949152542374</v>
      </c>
      <c r="K83" s="7">
        <f t="shared" si="3"/>
        <v>10.083050847457628</v>
      </c>
      <c r="L83" s="8">
        <v>66.099999999999994</v>
      </c>
      <c r="M83" s="3" t="s">
        <v>23</v>
      </c>
      <c r="N83" s="3" t="s">
        <v>108</v>
      </c>
      <c r="O83" s="3"/>
      <c r="P83" s="3" t="s">
        <v>259</v>
      </c>
      <c r="Q83" s="3" t="s">
        <v>260</v>
      </c>
    </row>
    <row r="84" spans="1:17" s="5" customFormat="1" ht="10.050000000000001" customHeight="1" x14ac:dyDescent="0.2">
      <c r="A84" s="3">
        <v>76286090</v>
      </c>
      <c r="B84" s="3" t="s">
        <v>15</v>
      </c>
      <c r="C84" s="3" t="s">
        <v>87</v>
      </c>
      <c r="D84" s="3" t="s">
        <v>16</v>
      </c>
      <c r="E84" s="3" t="s">
        <v>17</v>
      </c>
      <c r="F84" s="3">
        <v>20609499517</v>
      </c>
      <c r="G84" s="3" t="s">
        <v>261</v>
      </c>
      <c r="H84" s="3">
        <v>20609499517</v>
      </c>
      <c r="I84" s="4">
        <v>45981</v>
      </c>
      <c r="J84" s="7">
        <f t="shared" si="2"/>
        <v>77.47457627118645</v>
      </c>
      <c r="K84" s="7">
        <f t="shared" si="3"/>
        <v>13.945423728813561</v>
      </c>
      <c r="L84" s="8">
        <v>91.42</v>
      </c>
      <c r="M84" s="3" t="s">
        <v>23</v>
      </c>
      <c r="N84" s="3">
        <v>202509</v>
      </c>
      <c r="O84" s="3"/>
      <c r="P84" s="3" t="s">
        <v>262</v>
      </c>
      <c r="Q84" s="3" t="s">
        <v>263</v>
      </c>
    </row>
    <row r="85" spans="1:17" s="5" customFormat="1" ht="10.050000000000001" customHeight="1" x14ac:dyDescent="0.2">
      <c r="A85" s="3">
        <v>76285604</v>
      </c>
      <c r="B85" s="3" t="s">
        <v>15</v>
      </c>
      <c r="C85" s="3" t="s">
        <v>87</v>
      </c>
      <c r="D85" s="3" t="s">
        <v>16</v>
      </c>
      <c r="E85" s="3" t="s">
        <v>17</v>
      </c>
      <c r="F85" s="3">
        <v>20607301515</v>
      </c>
      <c r="G85" s="3" t="s">
        <v>264</v>
      </c>
      <c r="H85" s="3">
        <v>20607301515</v>
      </c>
      <c r="I85" s="4">
        <v>45981</v>
      </c>
      <c r="J85" s="7">
        <f t="shared" si="2"/>
        <v>56.016949152542374</v>
      </c>
      <c r="K85" s="7">
        <f t="shared" si="3"/>
        <v>10.083050847457628</v>
      </c>
      <c r="L85" s="8">
        <v>66.099999999999994</v>
      </c>
      <c r="M85" s="3" t="s">
        <v>23</v>
      </c>
      <c r="N85" s="3">
        <v>202509</v>
      </c>
      <c r="O85" s="3"/>
      <c r="P85" s="3" t="s">
        <v>265</v>
      </c>
      <c r="Q85" s="3" t="s">
        <v>266</v>
      </c>
    </row>
    <row r="86" spans="1:17" s="5" customFormat="1" ht="10.050000000000001" customHeight="1" x14ac:dyDescent="0.2">
      <c r="A86" s="3">
        <v>76285467</v>
      </c>
      <c r="B86" s="3" t="s">
        <v>15</v>
      </c>
      <c r="C86" s="3" t="s">
        <v>87</v>
      </c>
      <c r="D86" s="3" t="s">
        <v>16</v>
      </c>
      <c r="E86" s="3" t="s">
        <v>17</v>
      </c>
      <c r="F86" s="3">
        <v>20606543353</v>
      </c>
      <c r="G86" s="3" t="s">
        <v>267</v>
      </c>
      <c r="H86" s="3">
        <v>20606543353</v>
      </c>
      <c r="I86" s="4">
        <v>45981</v>
      </c>
      <c r="J86" s="7">
        <f t="shared" si="2"/>
        <v>56.016949152542374</v>
      </c>
      <c r="K86" s="7">
        <f t="shared" si="3"/>
        <v>10.083050847457628</v>
      </c>
      <c r="L86" s="8">
        <v>66.099999999999994</v>
      </c>
      <c r="M86" s="3" t="s">
        <v>23</v>
      </c>
      <c r="N86" s="3" t="s">
        <v>108</v>
      </c>
      <c r="O86" s="3"/>
      <c r="P86" s="3" t="s">
        <v>268</v>
      </c>
      <c r="Q86" s="3" t="s">
        <v>269</v>
      </c>
    </row>
    <row r="87" spans="1:17" s="5" customFormat="1" ht="10.050000000000001" customHeight="1" x14ac:dyDescent="0.2">
      <c r="A87" s="3">
        <v>76292839</v>
      </c>
      <c r="B87" s="3" t="s">
        <v>48</v>
      </c>
      <c r="C87" s="3" t="s">
        <v>87</v>
      </c>
      <c r="D87" s="3" t="s">
        <v>32</v>
      </c>
      <c r="E87" s="3" t="s">
        <v>33</v>
      </c>
      <c r="F87" s="3">
        <v>20479722138</v>
      </c>
      <c r="G87" s="3" t="s">
        <v>270</v>
      </c>
      <c r="H87" s="3">
        <v>20479722138</v>
      </c>
      <c r="I87" s="4">
        <v>45981</v>
      </c>
      <c r="J87" s="7">
        <f t="shared" si="2"/>
        <v>1094.6440677966102</v>
      </c>
      <c r="K87" s="7">
        <f t="shared" si="3"/>
        <v>197.03593220338982</v>
      </c>
      <c r="L87" s="8">
        <v>1291.68</v>
      </c>
      <c r="M87" s="3" t="s">
        <v>23</v>
      </c>
      <c r="N87" s="3" t="s">
        <v>271</v>
      </c>
      <c r="O87" s="3"/>
      <c r="P87" s="3"/>
      <c r="Q87" s="3" t="s">
        <v>272</v>
      </c>
    </row>
    <row r="88" spans="1:17" s="5" customFormat="1" ht="10.050000000000001" customHeight="1" x14ac:dyDescent="0.2">
      <c r="A88" s="3">
        <v>76283656</v>
      </c>
      <c r="B88" s="3" t="s">
        <v>15</v>
      </c>
      <c r="C88" s="3" t="s">
        <v>87</v>
      </c>
      <c r="D88" s="3" t="s">
        <v>16</v>
      </c>
      <c r="E88" s="3" t="s">
        <v>17</v>
      </c>
      <c r="F88" s="3">
        <v>20560037628</v>
      </c>
      <c r="G88" s="3" t="s">
        <v>273</v>
      </c>
      <c r="H88" s="3">
        <v>20560037628</v>
      </c>
      <c r="I88" s="4">
        <v>45981</v>
      </c>
      <c r="J88" s="7">
        <f t="shared" si="2"/>
        <v>66.915254237288138</v>
      </c>
      <c r="K88" s="7">
        <f t="shared" si="3"/>
        <v>12.044745762711864</v>
      </c>
      <c r="L88" s="8">
        <v>78.959999999999994</v>
      </c>
      <c r="M88" s="3" t="s">
        <v>23</v>
      </c>
      <c r="N88" s="3">
        <v>202509</v>
      </c>
      <c r="O88" s="3"/>
      <c r="P88" s="3" t="s">
        <v>274</v>
      </c>
      <c r="Q88" s="3" t="s">
        <v>275</v>
      </c>
    </row>
    <row r="89" spans="1:17" s="5" customFormat="1" ht="10.050000000000001" customHeight="1" x14ac:dyDescent="0.2">
      <c r="A89" s="3">
        <v>76285904</v>
      </c>
      <c r="B89" s="3" t="s">
        <v>15</v>
      </c>
      <c r="C89" s="3" t="s">
        <v>87</v>
      </c>
      <c r="D89" s="3" t="s">
        <v>16</v>
      </c>
      <c r="E89" s="3" t="s">
        <v>17</v>
      </c>
      <c r="F89" s="3">
        <v>20608703277</v>
      </c>
      <c r="G89" s="3" t="s">
        <v>276</v>
      </c>
      <c r="H89" s="3">
        <v>20608703277</v>
      </c>
      <c r="I89" s="4">
        <v>45981</v>
      </c>
      <c r="J89" s="7">
        <f t="shared" si="2"/>
        <v>56.016949152542374</v>
      </c>
      <c r="K89" s="7">
        <f t="shared" si="3"/>
        <v>10.083050847457628</v>
      </c>
      <c r="L89" s="8">
        <v>66.099999999999994</v>
      </c>
      <c r="M89" s="3" t="s">
        <v>23</v>
      </c>
      <c r="N89" s="3">
        <v>202509</v>
      </c>
      <c r="O89" s="3"/>
      <c r="P89" s="3" t="s">
        <v>277</v>
      </c>
      <c r="Q89" s="3" t="s">
        <v>278</v>
      </c>
    </row>
    <row r="90" spans="1:17" s="5" customFormat="1" ht="10.050000000000001" customHeight="1" x14ac:dyDescent="0.2">
      <c r="A90" s="3">
        <v>76286129</v>
      </c>
      <c r="B90" s="3" t="s">
        <v>27</v>
      </c>
      <c r="C90" s="3" t="s">
        <v>87</v>
      </c>
      <c r="D90" s="3" t="s">
        <v>16</v>
      </c>
      <c r="E90" s="3" t="s">
        <v>17</v>
      </c>
      <c r="F90" s="3">
        <v>20609655870</v>
      </c>
      <c r="G90" s="3" t="s">
        <v>279</v>
      </c>
      <c r="H90" s="3">
        <v>20609655870</v>
      </c>
      <c r="I90" s="4">
        <v>45981</v>
      </c>
      <c r="J90" s="7">
        <f t="shared" si="2"/>
        <v>56.016949152542374</v>
      </c>
      <c r="K90" s="7">
        <f t="shared" si="3"/>
        <v>10.083050847457628</v>
      </c>
      <c r="L90" s="8">
        <v>66.099999999999994</v>
      </c>
      <c r="M90" s="3" t="s">
        <v>23</v>
      </c>
      <c r="N90" s="3">
        <v>202509</v>
      </c>
      <c r="O90" s="3"/>
      <c r="P90" s="3"/>
      <c r="Q90" s="3" t="s">
        <v>280</v>
      </c>
    </row>
    <row r="91" spans="1:17" s="5" customFormat="1" ht="10.050000000000001" customHeight="1" x14ac:dyDescent="0.2">
      <c r="A91" s="3">
        <v>76285177</v>
      </c>
      <c r="B91" s="3" t="s">
        <v>27</v>
      </c>
      <c r="C91" s="3" t="s">
        <v>87</v>
      </c>
      <c r="D91" s="3" t="s">
        <v>16</v>
      </c>
      <c r="E91" s="3" t="s">
        <v>17</v>
      </c>
      <c r="F91" s="3">
        <v>20605360174</v>
      </c>
      <c r="G91" s="3" t="s">
        <v>281</v>
      </c>
      <c r="H91" s="3">
        <v>20605360174</v>
      </c>
      <c r="I91" s="4">
        <v>45982</v>
      </c>
      <c r="J91" s="7">
        <f t="shared" si="2"/>
        <v>67.79661016949153</v>
      </c>
      <c r="K91" s="7">
        <f t="shared" si="3"/>
        <v>12.203389830508474</v>
      </c>
      <c r="L91" s="8">
        <v>80</v>
      </c>
      <c r="M91" s="3" t="s">
        <v>23</v>
      </c>
      <c r="N91" s="3" t="s">
        <v>108</v>
      </c>
      <c r="O91" s="3"/>
      <c r="P91" s="3"/>
      <c r="Q91" s="3" t="s">
        <v>282</v>
      </c>
    </row>
    <row r="92" spans="1:17" s="5" customFormat="1" ht="10.050000000000001" customHeight="1" x14ac:dyDescent="0.2">
      <c r="A92" s="3">
        <v>76282343</v>
      </c>
      <c r="B92" s="3" t="s">
        <v>27</v>
      </c>
      <c r="C92" s="3" t="s">
        <v>87</v>
      </c>
      <c r="D92" s="3" t="s">
        <v>16</v>
      </c>
      <c r="E92" s="3" t="s">
        <v>17</v>
      </c>
      <c r="F92" s="3">
        <v>20454377011</v>
      </c>
      <c r="G92" s="3" t="s">
        <v>283</v>
      </c>
      <c r="H92" s="3">
        <v>20454377011</v>
      </c>
      <c r="I92" s="4">
        <v>45982</v>
      </c>
      <c r="J92" s="7">
        <f t="shared" si="2"/>
        <v>59.322033898305087</v>
      </c>
      <c r="K92" s="7">
        <f t="shared" si="3"/>
        <v>10.677966101694915</v>
      </c>
      <c r="L92" s="8">
        <v>70</v>
      </c>
      <c r="M92" s="3" t="s">
        <v>19</v>
      </c>
      <c r="N92" s="3">
        <v>202509</v>
      </c>
      <c r="O92" s="3">
        <v>201807</v>
      </c>
      <c r="P92" s="3"/>
      <c r="Q92" s="3" t="s">
        <v>284</v>
      </c>
    </row>
    <row r="93" spans="1:17" s="5" customFormat="1" ht="10.050000000000001" customHeight="1" x14ac:dyDescent="0.2">
      <c r="A93" s="3">
        <v>76281762</v>
      </c>
      <c r="B93" s="3" t="s">
        <v>27</v>
      </c>
      <c r="C93" s="3" t="s">
        <v>87</v>
      </c>
      <c r="D93" s="3" t="s">
        <v>16</v>
      </c>
      <c r="E93" s="3" t="s">
        <v>17</v>
      </c>
      <c r="F93" s="3">
        <v>27747133</v>
      </c>
      <c r="G93" s="3" t="s">
        <v>285</v>
      </c>
      <c r="H93" s="3">
        <v>10277471332</v>
      </c>
      <c r="I93" s="4">
        <v>45982</v>
      </c>
      <c r="J93" s="7">
        <f t="shared" si="2"/>
        <v>77.432203389830519</v>
      </c>
      <c r="K93" s="7">
        <f t="shared" si="3"/>
        <v>13.937796610169492</v>
      </c>
      <c r="L93" s="8">
        <v>91.37</v>
      </c>
      <c r="M93" s="3" t="s">
        <v>23</v>
      </c>
      <c r="N93" s="3" t="s">
        <v>108</v>
      </c>
      <c r="O93" s="3"/>
      <c r="P93" s="3"/>
      <c r="Q93" s="3" t="s">
        <v>286</v>
      </c>
    </row>
    <row r="94" spans="1:17" s="5" customFormat="1" ht="10.050000000000001" customHeight="1" x14ac:dyDescent="0.2">
      <c r="A94" s="3">
        <v>76286210</v>
      </c>
      <c r="B94" s="3" t="s">
        <v>38</v>
      </c>
      <c r="C94" s="3" t="s">
        <v>87</v>
      </c>
      <c r="D94" s="3" t="s">
        <v>16</v>
      </c>
      <c r="E94" s="3" t="s">
        <v>17</v>
      </c>
      <c r="F94" s="3">
        <v>20610011609</v>
      </c>
      <c r="G94" s="3" t="s">
        <v>287</v>
      </c>
      <c r="H94" s="3">
        <v>20610011609</v>
      </c>
      <c r="I94" s="4">
        <v>45982</v>
      </c>
      <c r="J94" s="7">
        <f t="shared" si="2"/>
        <v>56.016949152542374</v>
      </c>
      <c r="K94" s="7">
        <f t="shared" si="3"/>
        <v>10.083050847457628</v>
      </c>
      <c r="L94" s="8">
        <v>66.099999999999994</v>
      </c>
      <c r="M94" s="3" t="s">
        <v>23</v>
      </c>
      <c r="N94" s="3">
        <v>202509</v>
      </c>
      <c r="O94" s="3"/>
      <c r="P94" s="3" t="s">
        <v>288</v>
      </c>
      <c r="Q94" s="3" t="s">
        <v>289</v>
      </c>
    </row>
    <row r="95" spans="1:17" s="5" customFormat="1" ht="10.050000000000001" customHeight="1" x14ac:dyDescent="0.2">
      <c r="A95" s="3">
        <v>76286587</v>
      </c>
      <c r="B95" s="3" t="s">
        <v>27</v>
      </c>
      <c r="C95" s="3" t="s">
        <v>87</v>
      </c>
      <c r="D95" s="3" t="s">
        <v>16</v>
      </c>
      <c r="E95" s="3" t="s">
        <v>17</v>
      </c>
      <c r="F95" s="3">
        <v>20611659131</v>
      </c>
      <c r="G95" s="3" t="s">
        <v>290</v>
      </c>
      <c r="H95" s="3">
        <v>20611659131</v>
      </c>
      <c r="I95" s="4">
        <v>45982</v>
      </c>
      <c r="J95" s="7">
        <f t="shared" si="2"/>
        <v>82.728813559322049</v>
      </c>
      <c r="K95" s="7">
        <f t="shared" si="3"/>
        <v>14.891186440677968</v>
      </c>
      <c r="L95" s="8">
        <v>97.62</v>
      </c>
      <c r="M95" s="3" t="s">
        <v>23</v>
      </c>
      <c r="N95" s="3" t="s">
        <v>108</v>
      </c>
      <c r="O95" s="3"/>
      <c r="P95" s="3"/>
      <c r="Q95" s="3" t="s">
        <v>291</v>
      </c>
    </row>
    <row r="96" spans="1:17" s="5" customFormat="1" ht="10.050000000000001" customHeight="1" x14ac:dyDescent="0.2">
      <c r="A96" s="3">
        <v>76282444</v>
      </c>
      <c r="B96" s="3" t="s">
        <v>38</v>
      </c>
      <c r="C96" s="3" t="s">
        <v>87</v>
      </c>
      <c r="D96" s="3" t="s">
        <v>16</v>
      </c>
      <c r="E96" s="3" t="s">
        <v>17</v>
      </c>
      <c r="F96" s="3">
        <v>20480515961</v>
      </c>
      <c r="G96" s="3" t="s">
        <v>292</v>
      </c>
      <c r="H96" s="3">
        <v>20480515961</v>
      </c>
      <c r="I96" s="4">
        <v>45982</v>
      </c>
      <c r="J96" s="7">
        <f t="shared" si="2"/>
        <v>56.016949152542374</v>
      </c>
      <c r="K96" s="7">
        <f t="shared" si="3"/>
        <v>10.083050847457628</v>
      </c>
      <c r="L96" s="8">
        <v>66.099999999999994</v>
      </c>
      <c r="M96" s="3" t="s">
        <v>23</v>
      </c>
      <c r="N96" s="3" t="s">
        <v>108</v>
      </c>
      <c r="O96" s="3"/>
      <c r="P96" s="3"/>
      <c r="Q96" s="3" t="s">
        <v>293</v>
      </c>
    </row>
    <row r="97" spans="1:17" s="5" customFormat="1" ht="10.050000000000001" customHeight="1" x14ac:dyDescent="0.2">
      <c r="A97" s="3">
        <v>76284857</v>
      </c>
      <c r="B97" s="3" t="s">
        <v>15</v>
      </c>
      <c r="C97" s="3" t="s">
        <v>87</v>
      </c>
      <c r="D97" s="3" t="s">
        <v>16</v>
      </c>
      <c r="E97" s="3" t="s">
        <v>17</v>
      </c>
      <c r="F97" s="3">
        <v>20603717105</v>
      </c>
      <c r="G97" s="3" t="s">
        <v>294</v>
      </c>
      <c r="H97" s="3">
        <v>20603717105</v>
      </c>
      <c r="I97" s="4">
        <v>45982</v>
      </c>
      <c r="J97" s="7">
        <f t="shared" si="2"/>
        <v>101.69491525423729</v>
      </c>
      <c r="K97" s="7">
        <f t="shared" si="3"/>
        <v>18.305084745762709</v>
      </c>
      <c r="L97" s="8">
        <v>120</v>
      </c>
      <c r="M97" s="3" t="s">
        <v>23</v>
      </c>
      <c r="N97" s="3">
        <v>202509</v>
      </c>
      <c r="O97" s="3"/>
      <c r="P97" s="3" t="s">
        <v>295</v>
      </c>
      <c r="Q97" s="3" t="s">
        <v>296</v>
      </c>
    </row>
    <row r="98" spans="1:17" s="5" customFormat="1" ht="10.050000000000001" customHeight="1" x14ac:dyDescent="0.2">
      <c r="A98" s="3">
        <v>76282158</v>
      </c>
      <c r="B98" s="3" t="s">
        <v>15</v>
      </c>
      <c r="C98" s="3" t="s">
        <v>87</v>
      </c>
      <c r="D98" s="3" t="s">
        <v>16</v>
      </c>
      <c r="E98" s="3" t="s">
        <v>17</v>
      </c>
      <c r="F98" s="3">
        <v>20321592229</v>
      </c>
      <c r="G98" s="3" t="s">
        <v>297</v>
      </c>
      <c r="H98" s="3">
        <v>20321592229</v>
      </c>
      <c r="I98" s="4">
        <v>45982</v>
      </c>
      <c r="J98" s="7">
        <f t="shared" si="2"/>
        <v>77.79661016949153</v>
      </c>
      <c r="K98" s="7">
        <f t="shared" si="3"/>
        <v>14.003389830508475</v>
      </c>
      <c r="L98" s="8">
        <v>91.8</v>
      </c>
      <c r="M98" s="3" t="s">
        <v>23</v>
      </c>
      <c r="N98" s="3">
        <v>202509</v>
      </c>
      <c r="O98" s="3"/>
      <c r="P98" s="3" t="s">
        <v>298</v>
      </c>
      <c r="Q98" s="3" t="s">
        <v>299</v>
      </c>
    </row>
    <row r="99" spans="1:17" s="5" customFormat="1" ht="10.050000000000001" customHeight="1" x14ac:dyDescent="0.2">
      <c r="A99" s="3">
        <v>76308538</v>
      </c>
      <c r="B99" s="3" t="s">
        <v>38</v>
      </c>
      <c r="C99" s="3" t="s">
        <v>87</v>
      </c>
      <c r="D99" s="3" t="s">
        <v>88</v>
      </c>
      <c r="E99" s="3" t="s">
        <v>89</v>
      </c>
      <c r="F99" s="3">
        <v>20601613256</v>
      </c>
      <c r="G99" s="3" t="s">
        <v>300</v>
      </c>
      <c r="H99" s="3">
        <v>20601613256</v>
      </c>
      <c r="I99" s="4">
        <v>45982</v>
      </c>
      <c r="J99" s="7">
        <f t="shared" si="2"/>
        <v>56.016949152542374</v>
      </c>
      <c r="K99" s="7">
        <f t="shared" si="3"/>
        <v>10.083050847457628</v>
      </c>
      <c r="L99" s="8">
        <v>66.099999999999994</v>
      </c>
      <c r="M99" s="3" t="s">
        <v>23</v>
      </c>
      <c r="N99" s="3">
        <v>202509</v>
      </c>
      <c r="O99" s="3"/>
      <c r="P99" s="3"/>
      <c r="Q99" s="3" t="s">
        <v>301</v>
      </c>
    </row>
    <row r="100" spans="1:17" s="5" customFormat="1" ht="10.050000000000001" customHeight="1" x14ac:dyDescent="0.2">
      <c r="A100" s="3">
        <v>76285934</v>
      </c>
      <c r="B100" s="3" t="s">
        <v>27</v>
      </c>
      <c r="C100" s="3" t="s">
        <v>87</v>
      </c>
      <c r="D100" s="3" t="s">
        <v>16</v>
      </c>
      <c r="E100" s="3" t="s">
        <v>17</v>
      </c>
      <c r="F100" s="3">
        <v>20608879022</v>
      </c>
      <c r="G100" s="3" t="s">
        <v>302</v>
      </c>
      <c r="H100" s="3">
        <v>20608879022</v>
      </c>
      <c r="I100" s="4">
        <v>45982</v>
      </c>
      <c r="J100" s="7">
        <f t="shared" si="2"/>
        <v>56.016949152542374</v>
      </c>
      <c r="K100" s="7">
        <f t="shared" si="3"/>
        <v>10.083050847457628</v>
      </c>
      <c r="L100" s="8">
        <v>66.099999999999994</v>
      </c>
      <c r="M100" s="3" t="s">
        <v>23</v>
      </c>
      <c r="N100" s="3">
        <v>202509</v>
      </c>
      <c r="O100" s="3"/>
      <c r="P100" s="3"/>
      <c r="Q100" s="3" t="s">
        <v>303</v>
      </c>
    </row>
    <row r="101" spans="1:17" s="5" customFormat="1" ht="10.050000000000001" customHeight="1" x14ac:dyDescent="0.2">
      <c r="A101" s="3">
        <v>76284689</v>
      </c>
      <c r="B101" s="3" t="s">
        <v>15</v>
      </c>
      <c r="C101" s="3" t="s">
        <v>87</v>
      </c>
      <c r="D101" s="3" t="s">
        <v>16</v>
      </c>
      <c r="E101" s="3" t="s">
        <v>17</v>
      </c>
      <c r="F101" s="3">
        <v>20603083670</v>
      </c>
      <c r="G101" s="3" t="s">
        <v>304</v>
      </c>
      <c r="H101" s="3">
        <v>20603083670</v>
      </c>
      <c r="I101" s="4">
        <v>45984</v>
      </c>
      <c r="J101" s="7">
        <f t="shared" si="2"/>
        <v>55.932203389830512</v>
      </c>
      <c r="K101" s="7">
        <f t="shared" si="3"/>
        <v>10.067796610169491</v>
      </c>
      <c r="L101" s="8">
        <v>66</v>
      </c>
      <c r="M101" s="3" t="s">
        <v>23</v>
      </c>
      <c r="N101" s="3">
        <v>202509</v>
      </c>
      <c r="O101" s="3"/>
      <c r="P101" s="3" t="s">
        <v>305</v>
      </c>
      <c r="Q101" s="3" t="s">
        <v>306</v>
      </c>
    </row>
    <row r="102" spans="1:17" s="5" customFormat="1" ht="10.050000000000001" customHeight="1" x14ac:dyDescent="0.2">
      <c r="A102" s="3">
        <v>76306919</v>
      </c>
      <c r="B102" s="3" t="s">
        <v>38</v>
      </c>
      <c r="C102" s="3" t="s">
        <v>87</v>
      </c>
      <c r="D102" s="3" t="s">
        <v>88</v>
      </c>
      <c r="E102" s="3" t="s">
        <v>89</v>
      </c>
      <c r="F102" s="3">
        <v>7006557</v>
      </c>
      <c r="G102" s="3" t="s">
        <v>307</v>
      </c>
      <c r="H102" s="3">
        <v>10070065571</v>
      </c>
      <c r="I102" s="4">
        <v>45982</v>
      </c>
      <c r="J102" s="7">
        <f t="shared" si="2"/>
        <v>9061.1016949152545</v>
      </c>
      <c r="K102" s="7">
        <f t="shared" si="3"/>
        <v>1630.9983050847457</v>
      </c>
      <c r="L102" s="8">
        <v>10692.1</v>
      </c>
      <c r="M102" s="3" t="s">
        <v>23</v>
      </c>
      <c r="N102" s="3">
        <v>200008</v>
      </c>
      <c r="O102" s="3"/>
      <c r="P102" s="3"/>
      <c r="Q102" s="3" t="s">
        <v>308</v>
      </c>
    </row>
    <row r="103" spans="1:17" s="5" customFormat="1" ht="10.050000000000001" customHeight="1" x14ac:dyDescent="0.2">
      <c r="A103" s="3">
        <v>76283877</v>
      </c>
      <c r="B103" s="3" t="s">
        <v>15</v>
      </c>
      <c r="C103" s="3" t="s">
        <v>87</v>
      </c>
      <c r="D103" s="3" t="s">
        <v>16</v>
      </c>
      <c r="E103" s="3" t="s">
        <v>17</v>
      </c>
      <c r="F103" s="3">
        <v>20600298080</v>
      </c>
      <c r="G103" s="3" t="s">
        <v>309</v>
      </c>
      <c r="H103" s="3">
        <v>20600298080</v>
      </c>
      <c r="I103" s="4">
        <v>45985</v>
      </c>
      <c r="J103" s="7">
        <f t="shared" si="2"/>
        <v>86.466101694915267</v>
      </c>
      <c r="K103" s="7">
        <f t="shared" si="3"/>
        <v>15.563898305084747</v>
      </c>
      <c r="L103" s="8">
        <v>102.03</v>
      </c>
      <c r="M103" s="3" t="s">
        <v>19</v>
      </c>
      <c r="N103" s="3" t="s">
        <v>310</v>
      </c>
      <c r="O103" s="3" t="s">
        <v>108</v>
      </c>
      <c r="P103" s="3" t="s">
        <v>311</v>
      </c>
      <c r="Q103" s="3" t="s">
        <v>312</v>
      </c>
    </row>
    <row r="104" spans="1:17" s="5" customFormat="1" ht="10.050000000000001" customHeight="1" x14ac:dyDescent="0.2">
      <c r="A104" s="3">
        <v>76282576</v>
      </c>
      <c r="B104" s="3" t="s">
        <v>15</v>
      </c>
      <c r="C104" s="3" t="s">
        <v>87</v>
      </c>
      <c r="D104" s="3" t="s">
        <v>16</v>
      </c>
      <c r="E104" s="3" t="s">
        <v>17</v>
      </c>
      <c r="F104" s="3">
        <v>20492325784</v>
      </c>
      <c r="G104" s="3" t="s">
        <v>313</v>
      </c>
      <c r="H104" s="3">
        <v>20492325784</v>
      </c>
      <c r="I104" s="4">
        <v>45985</v>
      </c>
      <c r="J104" s="7">
        <f t="shared" si="2"/>
        <v>85.70338983050847</v>
      </c>
      <c r="K104" s="7">
        <f t="shared" si="3"/>
        <v>15.426610169491525</v>
      </c>
      <c r="L104" s="8">
        <v>101.13</v>
      </c>
      <c r="M104" s="3" t="s">
        <v>23</v>
      </c>
      <c r="N104" s="3">
        <v>202509</v>
      </c>
      <c r="O104" s="3"/>
      <c r="P104" s="3" t="s">
        <v>314</v>
      </c>
      <c r="Q104" s="3" t="s">
        <v>315</v>
      </c>
    </row>
    <row r="105" spans="1:17" s="5" customFormat="1" ht="10.050000000000001" customHeight="1" x14ac:dyDescent="0.2">
      <c r="A105" s="3">
        <v>76281574</v>
      </c>
      <c r="B105" s="3" t="s">
        <v>15</v>
      </c>
      <c r="C105" s="3" t="s">
        <v>87</v>
      </c>
      <c r="D105" s="3" t="s">
        <v>16</v>
      </c>
      <c r="E105" s="3" t="s">
        <v>17</v>
      </c>
      <c r="F105" s="3">
        <v>2619240</v>
      </c>
      <c r="G105" s="3" t="s">
        <v>316</v>
      </c>
      <c r="H105" s="3">
        <v>10026192400</v>
      </c>
      <c r="I105" s="4">
        <v>45985</v>
      </c>
      <c r="J105" s="7">
        <f t="shared" si="2"/>
        <v>57.96610169491526</v>
      </c>
      <c r="K105" s="7">
        <f t="shared" si="3"/>
        <v>10.433898305084746</v>
      </c>
      <c r="L105" s="8">
        <v>68.400000000000006</v>
      </c>
      <c r="M105" s="3" t="s">
        <v>23</v>
      </c>
      <c r="N105" s="3">
        <v>202509</v>
      </c>
      <c r="O105" s="3"/>
      <c r="P105" s="3" t="s">
        <v>316</v>
      </c>
      <c r="Q105" s="3" t="s">
        <v>317</v>
      </c>
    </row>
    <row r="106" spans="1:17" s="5" customFormat="1" ht="10.050000000000001" customHeight="1" x14ac:dyDescent="0.2">
      <c r="A106" s="3">
        <v>76284574</v>
      </c>
      <c r="B106" s="3" t="s">
        <v>27</v>
      </c>
      <c r="C106" s="3" t="s">
        <v>87</v>
      </c>
      <c r="D106" s="3" t="s">
        <v>16</v>
      </c>
      <c r="E106" s="3" t="s">
        <v>17</v>
      </c>
      <c r="F106" s="3">
        <v>20602720391</v>
      </c>
      <c r="G106" s="3" t="s">
        <v>318</v>
      </c>
      <c r="H106" s="3">
        <v>20602720391</v>
      </c>
      <c r="I106" s="4">
        <v>45986</v>
      </c>
      <c r="J106" s="7">
        <f t="shared" si="2"/>
        <v>56.016949152542374</v>
      </c>
      <c r="K106" s="7">
        <f t="shared" si="3"/>
        <v>10.083050847457628</v>
      </c>
      <c r="L106" s="8">
        <v>66.099999999999994</v>
      </c>
      <c r="M106" s="3" t="s">
        <v>23</v>
      </c>
      <c r="N106" s="3">
        <v>202509</v>
      </c>
      <c r="O106" s="3"/>
      <c r="P106" s="3"/>
      <c r="Q106" s="3" t="s">
        <v>319</v>
      </c>
    </row>
    <row r="107" spans="1:17" s="5" customFormat="1" ht="10.050000000000001" customHeight="1" x14ac:dyDescent="0.2">
      <c r="A107" s="3">
        <v>76285176</v>
      </c>
      <c r="B107" s="3" t="s">
        <v>27</v>
      </c>
      <c r="C107" s="3" t="s">
        <v>87</v>
      </c>
      <c r="D107" s="3" t="s">
        <v>16</v>
      </c>
      <c r="E107" s="3" t="s">
        <v>17</v>
      </c>
      <c r="F107" s="3">
        <v>20605358129</v>
      </c>
      <c r="G107" s="3" t="s">
        <v>320</v>
      </c>
      <c r="H107" s="3">
        <v>20605358129</v>
      </c>
      <c r="I107" s="4">
        <v>45986</v>
      </c>
      <c r="J107" s="7">
        <f t="shared" si="2"/>
        <v>106.11864406779661</v>
      </c>
      <c r="K107" s="7">
        <f t="shared" si="3"/>
        <v>19.10135593220339</v>
      </c>
      <c r="L107" s="8">
        <v>125.22</v>
      </c>
      <c r="M107" s="3" t="s">
        <v>23</v>
      </c>
      <c r="N107" s="3">
        <v>202509</v>
      </c>
      <c r="O107" s="3"/>
      <c r="P107" s="3"/>
      <c r="Q107" s="3" t="s">
        <v>321</v>
      </c>
    </row>
    <row r="108" spans="1:17" s="5" customFormat="1" ht="10.050000000000001" customHeight="1" x14ac:dyDescent="0.2">
      <c r="A108" s="3">
        <v>76282911</v>
      </c>
      <c r="B108" s="3" t="s">
        <v>15</v>
      </c>
      <c r="C108" s="3" t="s">
        <v>87</v>
      </c>
      <c r="D108" s="3" t="s">
        <v>16</v>
      </c>
      <c r="E108" s="3" t="s">
        <v>17</v>
      </c>
      <c r="F108" s="3">
        <v>20520988239</v>
      </c>
      <c r="G108" s="3" t="s">
        <v>322</v>
      </c>
      <c r="H108" s="3">
        <v>20520988239</v>
      </c>
      <c r="I108" s="4">
        <v>45986</v>
      </c>
      <c r="J108" s="7">
        <f t="shared" si="2"/>
        <v>56.016949152542374</v>
      </c>
      <c r="K108" s="7">
        <f t="shared" si="3"/>
        <v>10.083050847457628</v>
      </c>
      <c r="L108" s="8">
        <v>66.099999999999994</v>
      </c>
      <c r="M108" s="3" t="s">
        <v>23</v>
      </c>
      <c r="N108" s="3">
        <v>202509</v>
      </c>
      <c r="O108" s="3"/>
      <c r="P108" s="3" t="s">
        <v>323</v>
      </c>
      <c r="Q108" s="3" t="s">
        <v>324</v>
      </c>
    </row>
    <row r="109" spans="1:17" s="5" customFormat="1" ht="10.050000000000001" customHeight="1" x14ac:dyDescent="0.2">
      <c r="A109" s="3">
        <v>76286959</v>
      </c>
      <c r="B109" s="3" t="s">
        <v>15</v>
      </c>
      <c r="C109" s="3" t="s">
        <v>87</v>
      </c>
      <c r="D109" s="3" t="s">
        <v>16</v>
      </c>
      <c r="E109" s="3" t="s">
        <v>17</v>
      </c>
      <c r="F109" s="3">
        <v>20613318802</v>
      </c>
      <c r="G109" s="3" t="s">
        <v>325</v>
      </c>
      <c r="H109" s="3">
        <v>20613318802</v>
      </c>
      <c r="I109" s="4">
        <v>45986</v>
      </c>
      <c r="J109" s="7">
        <f t="shared" si="2"/>
        <v>84.745762711864415</v>
      </c>
      <c r="K109" s="7">
        <f t="shared" si="3"/>
        <v>15.254237288135593</v>
      </c>
      <c r="L109" s="8">
        <v>100</v>
      </c>
      <c r="M109" s="3" t="s">
        <v>23</v>
      </c>
      <c r="N109" s="3" t="s">
        <v>99</v>
      </c>
      <c r="O109" s="3"/>
      <c r="P109" s="3" t="s">
        <v>326</v>
      </c>
      <c r="Q109" s="3" t="s">
        <v>327</v>
      </c>
    </row>
    <row r="110" spans="1:17" s="5" customFormat="1" ht="10.050000000000001" customHeight="1" x14ac:dyDescent="0.2">
      <c r="A110" s="3">
        <v>76283984</v>
      </c>
      <c r="B110" s="3" t="s">
        <v>27</v>
      </c>
      <c r="C110" s="3" t="s">
        <v>87</v>
      </c>
      <c r="D110" s="3" t="s">
        <v>16</v>
      </c>
      <c r="E110" s="3" t="s">
        <v>17</v>
      </c>
      <c r="F110" s="3">
        <v>20600720636</v>
      </c>
      <c r="G110" s="3" t="s">
        <v>328</v>
      </c>
      <c r="H110" s="3">
        <v>20600720636</v>
      </c>
      <c r="I110" s="4">
        <v>45986</v>
      </c>
      <c r="J110" s="7">
        <f t="shared" si="2"/>
        <v>56.016949152542374</v>
      </c>
      <c r="K110" s="7">
        <f t="shared" si="3"/>
        <v>10.083050847457628</v>
      </c>
      <c r="L110" s="8">
        <v>66.099999999999994</v>
      </c>
      <c r="M110" s="3" t="s">
        <v>23</v>
      </c>
      <c r="N110" s="3">
        <v>202509</v>
      </c>
      <c r="O110" s="3"/>
      <c r="P110" s="3"/>
      <c r="Q110" s="3" t="s">
        <v>329</v>
      </c>
    </row>
    <row r="111" spans="1:17" s="5" customFormat="1" ht="10.050000000000001" customHeight="1" x14ac:dyDescent="0.2">
      <c r="A111" s="3">
        <v>76326932</v>
      </c>
      <c r="B111" s="3" t="s">
        <v>330</v>
      </c>
      <c r="C111" s="3" t="s">
        <v>87</v>
      </c>
      <c r="D111" s="3" t="s">
        <v>181</v>
      </c>
      <c r="E111" s="3" t="s">
        <v>182</v>
      </c>
      <c r="F111" s="3">
        <v>20613405322</v>
      </c>
      <c r="G111" s="3" t="s">
        <v>331</v>
      </c>
      <c r="H111" s="3">
        <v>20613405322</v>
      </c>
      <c r="I111" s="4">
        <v>45986</v>
      </c>
      <c r="J111" s="7">
        <f t="shared" si="2"/>
        <v>56.016949152542374</v>
      </c>
      <c r="K111" s="7">
        <f t="shared" si="3"/>
        <v>10.083050847457628</v>
      </c>
      <c r="L111" s="8">
        <v>66.099999999999994</v>
      </c>
      <c r="M111" s="3" t="s">
        <v>23</v>
      </c>
      <c r="N111" s="3">
        <v>202509</v>
      </c>
      <c r="O111" s="3"/>
      <c r="P111" s="3"/>
      <c r="Q111" s="3" t="s">
        <v>332</v>
      </c>
    </row>
    <row r="112" spans="1:17" s="5" customFormat="1" ht="10.050000000000001" customHeight="1" x14ac:dyDescent="0.2">
      <c r="A112" s="3">
        <v>76282186</v>
      </c>
      <c r="B112" s="3" t="s">
        <v>27</v>
      </c>
      <c r="C112" s="3" t="s">
        <v>87</v>
      </c>
      <c r="D112" s="3" t="s">
        <v>16</v>
      </c>
      <c r="E112" s="3" t="s">
        <v>17</v>
      </c>
      <c r="F112" s="3">
        <v>20376827055</v>
      </c>
      <c r="G112" s="3" t="s">
        <v>333</v>
      </c>
      <c r="H112" s="3">
        <v>20376827055</v>
      </c>
      <c r="I112" s="4">
        <v>45986</v>
      </c>
      <c r="J112" s="7">
        <f t="shared" si="2"/>
        <v>183.77966101694918</v>
      </c>
      <c r="K112" s="7">
        <f t="shared" si="3"/>
        <v>33.080338983050851</v>
      </c>
      <c r="L112" s="8">
        <v>216.86</v>
      </c>
      <c r="M112" s="3" t="s">
        <v>23</v>
      </c>
      <c r="N112" s="3" t="s">
        <v>108</v>
      </c>
      <c r="O112" s="3"/>
      <c r="P112" s="3"/>
      <c r="Q112" s="3" t="s">
        <v>334</v>
      </c>
    </row>
    <row r="113" spans="1:17" s="5" customFormat="1" ht="10.050000000000001" customHeight="1" x14ac:dyDescent="0.2">
      <c r="A113" s="3">
        <v>76283388</v>
      </c>
      <c r="B113" s="3" t="s">
        <v>27</v>
      </c>
      <c r="C113" s="3" t="s">
        <v>87</v>
      </c>
      <c r="D113" s="3" t="s">
        <v>16</v>
      </c>
      <c r="E113" s="3" t="s">
        <v>17</v>
      </c>
      <c r="F113" s="3">
        <v>20549119043</v>
      </c>
      <c r="G113" s="3" t="s">
        <v>335</v>
      </c>
      <c r="H113" s="3">
        <v>20549119043</v>
      </c>
      <c r="I113" s="4">
        <v>45986</v>
      </c>
      <c r="J113" s="7">
        <f t="shared" si="2"/>
        <v>56.016949152542374</v>
      </c>
      <c r="K113" s="7">
        <f t="shared" si="3"/>
        <v>10.083050847457628</v>
      </c>
      <c r="L113" s="8">
        <v>66.099999999999994</v>
      </c>
      <c r="M113" s="3" t="s">
        <v>23</v>
      </c>
      <c r="N113" s="3">
        <v>202509</v>
      </c>
      <c r="O113" s="3"/>
      <c r="P113" s="3"/>
      <c r="Q113" s="3" t="s">
        <v>336</v>
      </c>
    </row>
    <row r="114" spans="1:17" s="5" customFormat="1" ht="10.050000000000001" customHeight="1" x14ac:dyDescent="0.2">
      <c r="A114" s="3">
        <v>76281819</v>
      </c>
      <c r="B114" s="3" t="s">
        <v>15</v>
      </c>
      <c r="C114" s="3" t="s">
        <v>87</v>
      </c>
      <c r="D114" s="3" t="s">
        <v>16</v>
      </c>
      <c r="E114" s="3" t="s">
        <v>17</v>
      </c>
      <c r="F114" s="3">
        <v>41088615</v>
      </c>
      <c r="G114" s="3" t="s">
        <v>337</v>
      </c>
      <c r="H114" s="3">
        <v>10410886150</v>
      </c>
      <c r="I114" s="4">
        <v>45986</v>
      </c>
      <c r="J114" s="7">
        <f t="shared" si="2"/>
        <v>77.966101694915253</v>
      </c>
      <c r="K114" s="7">
        <f t="shared" si="3"/>
        <v>14.033898305084746</v>
      </c>
      <c r="L114" s="8">
        <v>92</v>
      </c>
      <c r="M114" s="3" t="s">
        <v>23</v>
      </c>
      <c r="N114" s="3">
        <v>202509</v>
      </c>
      <c r="O114" s="3"/>
      <c r="P114" s="3" t="s">
        <v>338</v>
      </c>
      <c r="Q114" s="3" t="s">
        <v>339</v>
      </c>
    </row>
    <row r="115" spans="1:17" s="5" customFormat="1" ht="10.050000000000001" customHeight="1" x14ac:dyDescent="0.2">
      <c r="A115" s="3">
        <v>76283981</v>
      </c>
      <c r="B115" s="3" t="s">
        <v>27</v>
      </c>
      <c r="C115" s="3" t="s">
        <v>87</v>
      </c>
      <c r="D115" s="3" t="s">
        <v>16</v>
      </c>
      <c r="E115" s="3" t="s">
        <v>17</v>
      </c>
      <c r="F115" s="3">
        <v>20600707346</v>
      </c>
      <c r="G115" s="3" t="s">
        <v>340</v>
      </c>
      <c r="H115" s="3">
        <v>20600707346</v>
      </c>
      <c r="I115" s="4">
        <v>45986</v>
      </c>
      <c r="J115" s="7">
        <f t="shared" si="2"/>
        <v>117.28813559322035</v>
      </c>
      <c r="K115" s="7">
        <f t="shared" si="3"/>
        <v>21.111864406779663</v>
      </c>
      <c r="L115" s="8">
        <v>138.4</v>
      </c>
      <c r="M115" s="3" t="s">
        <v>23</v>
      </c>
      <c r="N115" s="3" t="s">
        <v>341</v>
      </c>
      <c r="O115" s="3"/>
      <c r="P115" s="3"/>
      <c r="Q115" s="3" t="s">
        <v>342</v>
      </c>
    </row>
    <row r="116" spans="1:17" s="5" customFormat="1" ht="10.050000000000001" customHeight="1" x14ac:dyDescent="0.2">
      <c r="A116" s="3">
        <v>76283384</v>
      </c>
      <c r="B116" s="3" t="s">
        <v>27</v>
      </c>
      <c r="C116" s="3" t="s">
        <v>87</v>
      </c>
      <c r="D116" s="3" t="s">
        <v>16</v>
      </c>
      <c r="E116" s="3" t="s">
        <v>17</v>
      </c>
      <c r="F116" s="3">
        <v>20549017470</v>
      </c>
      <c r="G116" s="3" t="s">
        <v>343</v>
      </c>
      <c r="H116" s="3">
        <v>20549017470</v>
      </c>
      <c r="I116" s="4">
        <v>45986</v>
      </c>
      <c r="J116" s="7">
        <f t="shared" si="2"/>
        <v>69.211864406779668</v>
      </c>
      <c r="K116" s="7">
        <f t="shared" si="3"/>
        <v>12.458135593220339</v>
      </c>
      <c r="L116" s="8">
        <v>81.67</v>
      </c>
      <c r="M116" s="3" t="s">
        <v>23</v>
      </c>
      <c r="N116" s="3" t="s">
        <v>108</v>
      </c>
      <c r="O116" s="3"/>
      <c r="P116" s="3"/>
      <c r="Q116" s="3" t="s">
        <v>344</v>
      </c>
    </row>
    <row r="117" spans="1:17" s="5" customFormat="1" ht="10.050000000000001" customHeight="1" x14ac:dyDescent="0.2">
      <c r="A117" s="3">
        <v>76282316</v>
      </c>
      <c r="B117" s="3" t="s">
        <v>15</v>
      </c>
      <c r="C117" s="3" t="s">
        <v>87</v>
      </c>
      <c r="D117" s="3" t="s">
        <v>16</v>
      </c>
      <c r="E117" s="3" t="s">
        <v>17</v>
      </c>
      <c r="F117" s="3">
        <v>20451491297</v>
      </c>
      <c r="G117" s="3" t="s">
        <v>345</v>
      </c>
      <c r="H117" s="3">
        <v>20451491297</v>
      </c>
      <c r="I117" s="4">
        <v>45987</v>
      </c>
      <c r="J117" s="7">
        <f t="shared" si="2"/>
        <v>97.457627118644069</v>
      </c>
      <c r="K117" s="7">
        <f t="shared" si="3"/>
        <v>17.542372881355931</v>
      </c>
      <c r="L117" s="8">
        <v>115</v>
      </c>
      <c r="M117" s="3" t="s">
        <v>23</v>
      </c>
      <c r="N117" s="3">
        <v>202509</v>
      </c>
      <c r="O117" s="3"/>
      <c r="P117" s="3" t="s">
        <v>346</v>
      </c>
      <c r="Q117" s="3" t="s">
        <v>347</v>
      </c>
    </row>
    <row r="118" spans="1:17" s="5" customFormat="1" ht="10.050000000000001" customHeight="1" x14ac:dyDescent="0.2">
      <c r="A118" s="3">
        <v>76281799</v>
      </c>
      <c r="B118" s="3" t="s">
        <v>38</v>
      </c>
      <c r="C118" s="3" t="s">
        <v>87</v>
      </c>
      <c r="D118" s="3" t="s">
        <v>16</v>
      </c>
      <c r="E118" s="3" t="s">
        <v>17</v>
      </c>
      <c r="F118" s="3">
        <v>40404710</v>
      </c>
      <c r="G118" s="3" t="s">
        <v>348</v>
      </c>
      <c r="H118" s="3">
        <v>10404047103</v>
      </c>
      <c r="I118" s="4">
        <v>45987</v>
      </c>
      <c r="J118" s="7">
        <f t="shared" si="2"/>
        <v>56.016949152542374</v>
      </c>
      <c r="K118" s="7">
        <f t="shared" si="3"/>
        <v>10.083050847457628</v>
      </c>
      <c r="L118" s="8">
        <v>66.099999999999994</v>
      </c>
      <c r="M118" s="3" t="s">
        <v>23</v>
      </c>
      <c r="N118" s="3">
        <v>202509</v>
      </c>
      <c r="O118" s="3"/>
      <c r="P118" s="3" t="s">
        <v>109</v>
      </c>
      <c r="Q118" s="3"/>
    </row>
    <row r="119" spans="1:17" s="5" customFormat="1" ht="10.050000000000001" customHeight="1" x14ac:dyDescent="0.2">
      <c r="A119" s="3">
        <v>76282596</v>
      </c>
      <c r="B119" s="3" t="s">
        <v>15</v>
      </c>
      <c r="C119" s="3" t="s">
        <v>87</v>
      </c>
      <c r="D119" s="3" t="s">
        <v>16</v>
      </c>
      <c r="E119" s="3" t="s">
        <v>17</v>
      </c>
      <c r="F119" s="3">
        <v>20493382528</v>
      </c>
      <c r="G119" s="3" t="s">
        <v>349</v>
      </c>
      <c r="H119" s="3">
        <v>20493382528</v>
      </c>
      <c r="I119" s="4">
        <v>45987</v>
      </c>
      <c r="J119" s="7">
        <f t="shared" si="2"/>
        <v>59.322033898305087</v>
      </c>
      <c r="K119" s="7">
        <f t="shared" si="3"/>
        <v>10.677966101694915</v>
      </c>
      <c r="L119" s="8">
        <v>70</v>
      </c>
      <c r="M119" s="3" t="s">
        <v>23</v>
      </c>
      <c r="N119" s="3">
        <v>202509</v>
      </c>
      <c r="O119" s="3"/>
      <c r="P119" s="3" t="s">
        <v>350</v>
      </c>
      <c r="Q119" s="3" t="s">
        <v>351</v>
      </c>
    </row>
    <row r="120" spans="1:17" s="5" customFormat="1" ht="10.050000000000001" customHeight="1" x14ac:dyDescent="0.2">
      <c r="A120" s="3">
        <v>76282730</v>
      </c>
      <c r="B120" s="3" t="s">
        <v>15</v>
      </c>
      <c r="C120" s="3" t="s">
        <v>87</v>
      </c>
      <c r="D120" s="3" t="s">
        <v>16</v>
      </c>
      <c r="E120" s="3" t="s">
        <v>17</v>
      </c>
      <c r="F120" s="3">
        <v>20510202946</v>
      </c>
      <c r="G120" s="3" t="s">
        <v>352</v>
      </c>
      <c r="H120" s="3">
        <v>20510202946</v>
      </c>
      <c r="I120" s="4">
        <v>45987</v>
      </c>
      <c r="J120" s="7">
        <f t="shared" si="2"/>
        <v>194.83898305084747</v>
      </c>
      <c r="K120" s="7">
        <f t="shared" si="3"/>
        <v>35.071016949152543</v>
      </c>
      <c r="L120" s="8">
        <v>229.91</v>
      </c>
      <c r="M120" s="3" t="s">
        <v>23</v>
      </c>
      <c r="N120" s="3">
        <v>202509</v>
      </c>
      <c r="O120" s="3"/>
      <c r="P120" s="3" t="s">
        <v>353</v>
      </c>
      <c r="Q120" s="3" t="s">
        <v>354</v>
      </c>
    </row>
    <row r="121" spans="1:17" s="5" customFormat="1" ht="10.050000000000001" customHeight="1" x14ac:dyDescent="0.2">
      <c r="A121" s="3">
        <v>76286294</v>
      </c>
      <c r="B121" s="3" t="s">
        <v>15</v>
      </c>
      <c r="C121" s="3" t="s">
        <v>87</v>
      </c>
      <c r="D121" s="3" t="s">
        <v>16</v>
      </c>
      <c r="E121" s="3" t="s">
        <v>17</v>
      </c>
      <c r="F121" s="3">
        <v>20610364935</v>
      </c>
      <c r="G121" s="3" t="s">
        <v>355</v>
      </c>
      <c r="H121" s="3">
        <v>20610364935</v>
      </c>
      <c r="I121" s="4">
        <v>45987</v>
      </c>
      <c r="J121" s="7">
        <f t="shared" si="2"/>
        <v>78.813559322033896</v>
      </c>
      <c r="K121" s="7">
        <f t="shared" si="3"/>
        <v>14.1864406779661</v>
      </c>
      <c r="L121" s="8">
        <v>93</v>
      </c>
      <c r="M121" s="3" t="s">
        <v>23</v>
      </c>
      <c r="N121" s="3">
        <v>202508</v>
      </c>
      <c r="O121" s="3"/>
      <c r="P121" s="3" t="s">
        <v>356</v>
      </c>
      <c r="Q121" s="3" t="s">
        <v>357</v>
      </c>
    </row>
    <row r="122" spans="1:17" s="5" customFormat="1" ht="10.050000000000001" customHeight="1" x14ac:dyDescent="0.2">
      <c r="A122" s="3">
        <v>76281628</v>
      </c>
      <c r="B122" s="3" t="s">
        <v>15</v>
      </c>
      <c r="C122" s="3" t="s">
        <v>87</v>
      </c>
      <c r="D122" s="3" t="s">
        <v>16</v>
      </c>
      <c r="E122" s="3" t="s">
        <v>17</v>
      </c>
      <c r="F122" s="3">
        <v>8611507</v>
      </c>
      <c r="G122" s="3" t="s">
        <v>358</v>
      </c>
      <c r="H122" s="3">
        <v>10086115072</v>
      </c>
      <c r="I122" s="4">
        <v>45973</v>
      </c>
      <c r="J122" s="7">
        <f t="shared" si="2"/>
        <v>42.372881355932208</v>
      </c>
      <c r="K122" s="7">
        <f t="shared" si="3"/>
        <v>7.6271186440677967</v>
      </c>
      <c r="L122" s="8">
        <v>50</v>
      </c>
      <c r="M122" s="3" t="s">
        <v>23</v>
      </c>
      <c r="N122" s="3">
        <v>202509</v>
      </c>
      <c r="O122" s="3"/>
      <c r="P122" s="3" t="s">
        <v>359</v>
      </c>
      <c r="Q122" s="3" t="s">
        <v>360</v>
      </c>
    </row>
    <row r="123" spans="1:17" s="5" customFormat="1" ht="10.050000000000001" customHeight="1" x14ac:dyDescent="0.2">
      <c r="A123" s="3">
        <v>76285456</v>
      </c>
      <c r="B123" s="3" t="s">
        <v>15</v>
      </c>
      <c r="C123" s="3" t="s">
        <v>87</v>
      </c>
      <c r="D123" s="3" t="s">
        <v>16</v>
      </c>
      <c r="E123" s="3" t="s">
        <v>17</v>
      </c>
      <c r="F123" s="3">
        <v>20606512636</v>
      </c>
      <c r="G123" s="3" t="s">
        <v>361</v>
      </c>
      <c r="H123" s="3">
        <v>20606512636</v>
      </c>
      <c r="I123" s="4">
        <v>45988</v>
      </c>
      <c r="J123" s="7">
        <f t="shared" si="2"/>
        <v>56.016949152542374</v>
      </c>
      <c r="K123" s="7">
        <f t="shared" si="3"/>
        <v>10.083050847457628</v>
      </c>
      <c r="L123" s="8">
        <v>66.099999999999994</v>
      </c>
      <c r="M123" s="3" t="s">
        <v>23</v>
      </c>
      <c r="N123" s="3">
        <v>202509</v>
      </c>
      <c r="O123" s="3"/>
      <c r="P123" s="3" t="s">
        <v>362</v>
      </c>
      <c r="Q123" s="3" t="s">
        <v>363</v>
      </c>
    </row>
    <row r="124" spans="1:17" s="5" customFormat="1" ht="10.050000000000001" customHeight="1" x14ac:dyDescent="0.2">
      <c r="A124" s="3">
        <v>76285940</v>
      </c>
      <c r="B124" s="3" t="s">
        <v>15</v>
      </c>
      <c r="C124" s="3" t="s">
        <v>87</v>
      </c>
      <c r="D124" s="3" t="s">
        <v>16</v>
      </c>
      <c r="E124" s="3" t="s">
        <v>17</v>
      </c>
      <c r="F124" s="3">
        <v>20608904655</v>
      </c>
      <c r="G124" s="3" t="s">
        <v>364</v>
      </c>
      <c r="H124" s="3">
        <v>20608904655</v>
      </c>
      <c r="I124" s="4">
        <v>45986</v>
      </c>
      <c r="J124" s="7">
        <f t="shared" si="2"/>
        <v>56.016949152542374</v>
      </c>
      <c r="K124" s="7">
        <f t="shared" si="3"/>
        <v>10.083050847457628</v>
      </c>
      <c r="L124" s="8">
        <v>66.099999999999994</v>
      </c>
      <c r="M124" s="3" t="s">
        <v>23</v>
      </c>
      <c r="N124" s="3" t="s">
        <v>108</v>
      </c>
      <c r="O124" s="3"/>
      <c r="P124" s="3" t="s">
        <v>365</v>
      </c>
      <c r="Q124" s="3"/>
    </row>
    <row r="125" spans="1:17" s="5" customFormat="1" ht="10.050000000000001" customHeight="1" x14ac:dyDescent="0.2">
      <c r="A125" s="3">
        <v>76287116</v>
      </c>
      <c r="B125" s="3" t="s">
        <v>27</v>
      </c>
      <c r="C125" s="3" t="s">
        <v>87</v>
      </c>
      <c r="D125" s="3" t="s">
        <v>16</v>
      </c>
      <c r="E125" s="3" t="s">
        <v>17</v>
      </c>
      <c r="F125" s="3">
        <v>20614221292</v>
      </c>
      <c r="G125" s="3" t="s">
        <v>366</v>
      </c>
      <c r="H125" s="3">
        <v>20614221292</v>
      </c>
      <c r="I125" s="4">
        <v>45989</v>
      </c>
      <c r="J125" s="7">
        <f t="shared" si="2"/>
        <v>56.016949152542374</v>
      </c>
      <c r="K125" s="7">
        <f t="shared" si="3"/>
        <v>10.083050847457628</v>
      </c>
      <c r="L125" s="8">
        <v>66.099999999999994</v>
      </c>
      <c r="M125" s="3" t="s">
        <v>23</v>
      </c>
      <c r="N125" s="3" t="s">
        <v>99</v>
      </c>
      <c r="O125" s="3"/>
      <c r="P125" s="3"/>
      <c r="Q125" s="3"/>
    </row>
    <row r="126" spans="1:17" s="5" customFormat="1" ht="10.050000000000001" customHeight="1" x14ac:dyDescent="0.2">
      <c r="A126" s="3">
        <v>76286480</v>
      </c>
      <c r="B126" s="3" t="s">
        <v>27</v>
      </c>
      <c r="C126" s="3" t="s">
        <v>87</v>
      </c>
      <c r="D126" s="3" t="s">
        <v>16</v>
      </c>
      <c r="E126" s="3" t="s">
        <v>17</v>
      </c>
      <c r="F126" s="3">
        <v>20611106191</v>
      </c>
      <c r="G126" s="3" t="s">
        <v>367</v>
      </c>
      <c r="H126" s="3">
        <v>20611106191</v>
      </c>
      <c r="I126" s="4">
        <v>45989</v>
      </c>
      <c r="J126" s="7">
        <f t="shared" si="2"/>
        <v>56.016949152542374</v>
      </c>
      <c r="K126" s="7">
        <f t="shared" si="3"/>
        <v>10.083050847457628</v>
      </c>
      <c r="L126" s="8">
        <v>66.099999999999994</v>
      </c>
      <c r="M126" s="3" t="s">
        <v>23</v>
      </c>
      <c r="N126" s="3" t="s">
        <v>108</v>
      </c>
      <c r="O126" s="3"/>
      <c r="P126" s="3"/>
      <c r="Q126" s="3"/>
    </row>
    <row r="127" spans="1:17" s="5" customFormat="1" ht="10.050000000000001" customHeight="1" x14ac:dyDescent="0.2">
      <c r="A127" s="3">
        <v>76285921</v>
      </c>
      <c r="B127" s="3" t="s">
        <v>27</v>
      </c>
      <c r="C127" s="3" t="s">
        <v>87</v>
      </c>
      <c r="D127" s="3" t="s">
        <v>16</v>
      </c>
      <c r="E127" s="3" t="s">
        <v>17</v>
      </c>
      <c r="F127" s="3">
        <v>20608792113</v>
      </c>
      <c r="G127" s="3" t="s">
        <v>368</v>
      </c>
      <c r="H127" s="3">
        <v>20608792113</v>
      </c>
      <c r="I127" s="4">
        <v>45988</v>
      </c>
      <c r="J127" s="7">
        <f t="shared" si="2"/>
        <v>85.432203389830519</v>
      </c>
      <c r="K127" s="7">
        <f t="shared" si="3"/>
        <v>15.377796610169494</v>
      </c>
      <c r="L127" s="8">
        <v>100.81</v>
      </c>
      <c r="M127" s="3" t="s">
        <v>23</v>
      </c>
      <c r="N127" s="3">
        <v>202509</v>
      </c>
      <c r="O127" s="3"/>
      <c r="P127" s="3"/>
      <c r="Q127" s="3"/>
    </row>
    <row r="128" spans="1:17" s="5" customFormat="1" ht="10.050000000000001" customHeight="1" x14ac:dyDescent="0.2">
      <c r="A128" s="3">
        <v>76284940</v>
      </c>
      <c r="B128" s="3" t="s">
        <v>27</v>
      </c>
      <c r="C128" s="3" t="s">
        <v>87</v>
      </c>
      <c r="D128" s="3" t="s">
        <v>16</v>
      </c>
      <c r="E128" s="3" t="s">
        <v>17</v>
      </c>
      <c r="F128" s="3">
        <v>20604136548</v>
      </c>
      <c r="G128" s="3" t="s">
        <v>369</v>
      </c>
      <c r="H128" s="3">
        <v>20604136548</v>
      </c>
      <c r="I128" s="4">
        <v>45990</v>
      </c>
      <c r="J128" s="7">
        <f t="shared" si="2"/>
        <v>121.17796610169493</v>
      </c>
      <c r="K128" s="7">
        <f t="shared" si="3"/>
        <v>21.812033898305089</v>
      </c>
      <c r="L128" s="8">
        <v>142.99</v>
      </c>
      <c r="M128" s="3" t="s">
        <v>23</v>
      </c>
      <c r="N128" s="3" t="s">
        <v>370</v>
      </c>
      <c r="O128" s="3"/>
      <c r="P128" s="3"/>
      <c r="Q128" s="3"/>
    </row>
    <row r="129" spans="1:17" s="5" customFormat="1" ht="10.050000000000001" customHeight="1" x14ac:dyDescent="0.2">
      <c r="A129" s="3">
        <v>76287108</v>
      </c>
      <c r="B129" s="3" t="s">
        <v>27</v>
      </c>
      <c r="C129" s="3" t="s">
        <v>87</v>
      </c>
      <c r="D129" s="3" t="s">
        <v>16</v>
      </c>
      <c r="E129" s="3" t="s">
        <v>17</v>
      </c>
      <c r="F129" s="3">
        <v>20614142627</v>
      </c>
      <c r="G129" s="3" t="s">
        <v>371</v>
      </c>
      <c r="H129" s="3">
        <v>20614142627</v>
      </c>
      <c r="I129" s="4">
        <v>45990</v>
      </c>
      <c r="J129" s="7">
        <f t="shared" si="2"/>
        <v>102.88983050847457</v>
      </c>
      <c r="K129" s="7">
        <f t="shared" si="3"/>
        <v>18.520169491525422</v>
      </c>
      <c r="L129" s="8">
        <v>121.41</v>
      </c>
      <c r="M129" s="3" t="s">
        <v>23</v>
      </c>
      <c r="N129" s="3" t="s">
        <v>108</v>
      </c>
      <c r="O129" s="3"/>
      <c r="P129" s="3"/>
      <c r="Q129" s="3"/>
    </row>
    <row r="130" spans="1:17" s="5" customFormat="1" ht="10.050000000000001" customHeight="1" x14ac:dyDescent="0.2">
      <c r="A130" s="3">
        <v>76286410</v>
      </c>
      <c r="B130" s="3" t="s">
        <v>15</v>
      </c>
      <c r="C130" s="3" t="s">
        <v>87</v>
      </c>
      <c r="D130" s="3" t="s">
        <v>16</v>
      </c>
      <c r="E130" s="3" t="s">
        <v>17</v>
      </c>
      <c r="F130" s="3">
        <v>20610786686</v>
      </c>
      <c r="G130" s="3" t="s">
        <v>372</v>
      </c>
      <c r="H130" s="3">
        <v>20610786686</v>
      </c>
      <c r="I130" s="4">
        <v>45989</v>
      </c>
      <c r="J130" s="7">
        <f t="shared" si="2"/>
        <v>169.49152542372883</v>
      </c>
      <c r="K130" s="7">
        <f t="shared" si="3"/>
        <v>30.508474576271187</v>
      </c>
      <c r="L130" s="8">
        <v>200</v>
      </c>
      <c r="M130" s="3" t="s">
        <v>23</v>
      </c>
      <c r="N130" s="3" t="s">
        <v>99</v>
      </c>
      <c r="O130" s="3"/>
      <c r="P130" s="3" t="s">
        <v>373</v>
      </c>
      <c r="Q130" s="3"/>
    </row>
    <row r="131" spans="1:17" s="5" customFormat="1" ht="10.050000000000001" customHeight="1" x14ac:dyDescent="0.2">
      <c r="A131" s="3">
        <v>76293598</v>
      </c>
      <c r="B131" s="3" t="s">
        <v>48</v>
      </c>
      <c r="C131" s="3" t="s">
        <v>87</v>
      </c>
      <c r="D131" s="3" t="s">
        <v>32</v>
      </c>
      <c r="E131" s="3" t="s">
        <v>33</v>
      </c>
      <c r="F131" s="3">
        <v>20508114843</v>
      </c>
      <c r="G131" s="3" t="s">
        <v>205</v>
      </c>
      <c r="H131" s="3">
        <v>20508114843</v>
      </c>
      <c r="I131" s="4">
        <v>45986</v>
      </c>
      <c r="J131" s="7">
        <f t="shared" ref="J131:J135" si="4">+L131/1.18</f>
        <v>151.89830508474577</v>
      </c>
      <c r="K131" s="7">
        <f t="shared" ref="K131:K135" si="5">J131*0.18</f>
        <v>27.341694915254237</v>
      </c>
      <c r="L131" s="8">
        <v>179.24</v>
      </c>
      <c r="M131" s="3" t="s">
        <v>19</v>
      </c>
      <c r="N131" s="3" t="s">
        <v>206</v>
      </c>
      <c r="O131" s="3" t="s">
        <v>207</v>
      </c>
      <c r="P131" s="3"/>
      <c r="Q131" s="3" t="s">
        <v>208</v>
      </c>
    </row>
    <row r="132" spans="1:17" s="5" customFormat="1" ht="10.050000000000001" customHeight="1" x14ac:dyDescent="0.2">
      <c r="A132" s="3">
        <v>76285405</v>
      </c>
      <c r="B132" s="3" t="s">
        <v>15</v>
      </c>
      <c r="C132" s="3" t="s">
        <v>87</v>
      </c>
      <c r="D132" s="3" t="s">
        <v>16</v>
      </c>
      <c r="E132" s="3" t="s">
        <v>17</v>
      </c>
      <c r="F132" s="3">
        <v>20606269031</v>
      </c>
      <c r="G132" s="3" t="s">
        <v>374</v>
      </c>
      <c r="H132" s="3">
        <v>20606269031</v>
      </c>
      <c r="I132" s="4">
        <v>45989</v>
      </c>
      <c r="J132" s="7">
        <f t="shared" si="4"/>
        <v>73.16101694915254</v>
      </c>
      <c r="K132" s="7">
        <f t="shared" si="5"/>
        <v>13.168983050847457</v>
      </c>
      <c r="L132" s="8">
        <v>86.33</v>
      </c>
      <c r="M132" s="3" t="s">
        <v>23</v>
      </c>
      <c r="N132" s="3">
        <v>202509</v>
      </c>
      <c r="O132" s="3"/>
      <c r="P132" s="3" t="s">
        <v>375</v>
      </c>
      <c r="Q132" s="3"/>
    </row>
    <row r="133" spans="1:17" s="5" customFormat="1" ht="10.050000000000001" customHeight="1" x14ac:dyDescent="0.2">
      <c r="A133" s="3">
        <v>76283627</v>
      </c>
      <c r="B133" s="3" t="s">
        <v>15</v>
      </c>
      <c r="C133" s="3" t="s">
        <v>87</v>
      </c>
      <c r="D133" s="3" t="s">
        <v>16</v>
      </c>
      <c r="E133" s="3" t="s">
        <v>17</v>
      </c>
      <c r="F133" s="3">
        <v>20558361248</v>
      </c>
      <c r="G133" s="3" t="s">
        <v>376</v>
      </c>
      <c r="H133" s="3">
        <v>20558361248</v>
      </c>
      <c r="I133" s="4">
        <v>45989</v>
      </c>
      <c r="J133" s="7">
        <f t="shared" si="4"/>
        <v>56.016949152542374</v>
      </c>
      <c r="K133" s="7">
        <f t="shared" si="5"/>
        <v>10.083050847457628</v>
      </c>
      <c r="L133" s="8">
        <v>66.099999999999994</v>
      </c>
      <c r="M133" s="3" t="s">
        <v>23</v>
      </c>
      <c r="N133" s="3">
        <v>202509</v>
      </c>
      <c r="O133" s="3"/>
      <c r="P133" s="3" t="s">
        <v>377</v>
      </c>
      <c r="Q133" s="3"/>
    </row>
    <row r="134" spans="1:17" s="5" customFormat="1" ht="10.050000000000001" customHeight="1" x14ac:dyDescent="0.2">
      <c r="A134" s="3">
        <v>76284470</v>
      </c>
      <c r="B134" s="3" t="s">
        <v>27</v>
      </c>
      <c r="C134" s="3" t="s">
        <v>87</v>
      </c>
      <c r="D134" s="3" t="s">
        <v>16</v>
      </c>
      <c r="E134" s="3" t="s">
        <v>17</v>
      </c>
      <c r="F134" s="3">
        <v>20602354939</v>
      </c>
      <c r="G134" s="3" t="s">
        <v>378</v>
      </c>
      <c r="H134" s="3">
        <v>20602354939</v>
      </c>
      <c r="I134" s="4">
        <v>45982</v>
      </c>
      <c r="J134" s="7">
        <f t="shared" si="4"/>
        <v>56.016949152542374</v>
      </c>
      <c r="K134" s="7">
        <f t="shared" si="5"/>
        <v>10.083050847457628</v>
      </c>
      <c r="L134" s="8">
        <v>66.099999999999994</v>
      </c>
      <c r="M134" s="3" t="s">
        <v>23</v>
      </c>
      <c r="N134" s="3" t="s">
        <v>108</v>
      </c>
      <c r="O134" s="3"/>
      <c r="P134" s="3"/>
      <c r="Q134" s="3"/>
    </row>
    <row r="135" spans="1:17" s="5" customFormat="1" ht="10.050000000000001" customHeight="1" x14ac:dyDescent="0.2">
      <c r="A135" s="3">
        <v>76283194</v>
      </c>
      <c r="B135" s="3" t="s">
        <v>27</v>
      </c>
      <c r="C135" s="3" t="s">
        <v>87</v>
      </c>
      <c r="D135" s="3" t="s">
        <v>16</v>
      </c>
      <c r="E135" s="3" t="s">
        <v>17</v>
      </c>
      <c r="F135" s="3">
        <v>20538512312</v>
      </c>
      <c r="G135" s="3" t="s">
        <v>379</v>
      </c>
      <c r="H135" s="3">
        <v>20538512312</v>
      </c>
      <c r="I135" s="4">
        <v>45985</v>
      </c>
      <c r="J135" s="7">
        <f t="shared" si="4"/>
        <v>56.016949152542374</v>
      </c>
      <c r="K135" s="7">
        <f t="shared" si="5"/>
        <v>10.083050847457628</v>
      </c>
      <c r="L135" s="8">
        <v>66.099999999999994</v>
      </c>
      <c r="M135" s="3" t="s">
        <v>23</v>
      </c>
      <c r="N135" s="3" t="s">
        <v>108</v>
      </c>
      <c r="O135" s="3"/>
      <c r="P135" s="3"/>
      <c r="Q135" s="3"/>
    </row>
    <row r="136" spans="1:17" s="5" customFormat="1" ht="10.050000000000001" customHeight="1" x14ac:dyDescent="0.2">
      <c r="J136" s="11">
        <f>SUBTOTAL(9,J2:J135)</f>
        <v>27194.703389830498</v>
      </c>
      <c r="K136" s="11">
        <f>SUBTOTAL(9,K2:K135)</f>
        <v>4895.0466101694919</v>
      </c>
      <c r="L136" s="11">
        <f>SUM(L2:L135)</f>
        <v>32089.749999999993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Alexander  Mariscal Almeyda</cp:lastModifiedBy>
  <dcterms:created xsi:type="dcterms:W3CDTF">2025-12-11T14:54:08Z</dcterms:created>
  <dcterms:modified xsi:type="dcterms:W3CDTF">2025-12-11T16:14:09Z</dcterms:modified>
</cp:coreProperties>
</file>